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DOO 2024 BD\DOO\victus-doc\Doo-Doc\Nueva Version Victus\MuestreoDatos\"/>
    </mc:Choice>
  </mc:AlternateContent>
  <xr:revisionPtr revIDLastSave="0" documentId="13_ncr:1_{F29936AB-5FEF-405A-9C7C-692E7CDEEC0E}" xr6:coauthVersionLast="47" xr6:coauthVersionMax="47" xr10:uidLastSave="{00000000-0000-0000-0000-000000000000}"/>
  <bookViews>
    <workbookView xWindow="-120" yWindow="-120" windowWidth="38640" windowHeight="21120" activeTab="3" xr2:uid="{37DFAE61-0D86-49EA-8370-168CB72B907A}"/>
  </bookViews>
  <sheets>
    <sheet name="Objetos de dominio" sheetId="1" r:id="rId1"/>
    <sheet name="Reserva" sheetId="2" r:id="rId2"/>
    <sheet name="Turno" sheetId="3" r:id="rId3"/>
    <sheet name="Residente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" i="4" l="1"/>
  <c r="L13" i="4"/>
  <c r="K13" i="4"/>
  <c r="J13" i="4"/>
  <c r="M12" i="4"/>
  <c r="L12" i="4"/>
  <c r="K12" i="4"/>
  <c r="J12" i="4"/>
  <c r="M11" i="4"/>
  <c r="L11" i="4"/>
  <c r="K11" i="4"/>
  <c r="J11" i="4"/>
  <c r="M10" i="4"/>
  <c r="L10" i="4"/>
  <c r="K10" i="4"/>
  <c r="J10" i="4"/>
  <c r="M9" i="4"/>
  <c r="L9" i="4"/>
  <c r="K9" i="4"/>
  <c r="J9" i="4"/>
  <c r="M8" i="4"/>
  <c r="L8" i="4"/>
  <c r="K8" i="4"/>
  <c r="J8" i="4"/>
  <c r="M7" i="4"/>
  <c r="L7" i="4"/>
  <c r="K7" i="4"/>
  <c r="J7" i="4"/>
  <c r="M6" i="4"/>
  <c r="L6" i="4"/>
  <c r="K6" i="4"/>
  <c r="J6" i="4"/>
  <c r="M5" i="4"/>
  <c r="L5" i="4"/>
  <c r="K5" i="4"/>
  <c r="J5" i="4"/>
  <c r="M4" i="4"/>
  <c r="L4" i="4"/>
  <c r="K4" i="4"/>
  <c r="J4" i="4"/>
  <c r="G27" i="3" l="1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E7" i="2" l="1"/>
  <c r="E8" i="2"/>
  <c r="E9" i="2"/>
  <c r="E10" i="2"/>
  <c r="D10" i="2"/>
  <c r="D9" i="2"/>
  <c r="D8" i="2"/>
  <c r="D7" i="2"/>
  <c r="D6" i="2" l="1"/>
  <c r="D5" i="2"/>
  <c r="D4" i="2"/>
  <c r="C6" i="2"/>
  <c r="G6" i="2" l="1"/>
  <c r="C8" i="2"/>
  <c r="G8" i="2" s="1"/>
  <c r="C7" i="2"/>
  <c r="G7" i="2" s="1"/>
  <c r="C5" i="2"/>
  <c r="G5" i="2" s="1"/>
  <c r="C10" i="2"/>
  <c r="G10" i="2" s="1"/>
  <c r="E6" i="2"/>
  <c r="E5" i="2"/>
  <c r="E4" i="2"/>
  <c r="C4" i="2" l="1"/>
  <c r="G4" i="2" s="1"/>
  <c r="C9" i="2"/>
  <c r="G9" i="2" s="1"/>
</calcChain>
</file>

<file path=xl/sharedStrings.xml><?xml version="1.0" encoding="utf-8"?>
<sst xmlns="http://schemas.openxmlformats.org/spreadsheetml/2006/main" count="184" uniqueCount="121">
  <si>
    <t>Nombre</t>
  </si>
  <si>
    <t>Descripción</t>
  </si>
  <si>
    <t>Agenda</t>
  </si>
  <si>
    <t>Turno</t>
  </si>
  <si>
    <t>Reserva</t>
  </si>
  <si>
    <t>Residente</t>
  </si>
  <si>
    <t>&lt;&lt;&lt;&lt;&lt;&lt; Volver al inicio</t>
  </si>
  <si>
    <t>Es un dato que hace que cada reserva sea única.</t>
  </si>
  <si>
    <t xml:space="preserve">Es un dato que representa el turno que va a tener en cuenta la reserva. </t>
  </si>
  <si>
    <t xml:space="preserve">Es un dato que representa el residente que va a tener en cuenta la reserva. </t>
  </si>
  <si>
    <t>Este dato representa la validez de la reserva, es decir, si esta se encuentra pendiente para ser confirmada o si ya está confirmada</t>
  </si>
  <si>
    <t>Identificador</t>
  </si>
  <si>
    <t>fechaReserva</t>
  </si>
  <si>
    <t>Combinación única</t>
  </si>
  <si>
    <t>Confirmada</t>
  </si>
  <si>
    <t>1 invitado</t>
  </si>
  <si>
    <t>Pendiente</t>
  </si>
  <si>
    <t>2 invitados</t>
  </si>
  <si>
    <t>7 invitados</t>
  </si>
  <si>
    <t>Es un dato que hace que cada turno sea único.</t>
  </si>
  <si>
    <t>Es un dato que representa la hora de inicio del turno.</t>
  </si>
  <si>
    <t>Es un dato que representa la hora de finalización del turno.</t>
  </si>
  <si>
    <t>Turno 1</t>
  </si>
  <si>
    <t>Disponible</t>
  </si>
  <si>
    <t>estado</t>
  </si>
  <si>
    <t>Turno 2</t>
  </si>
  <si>
    <t>Turno 3</t>
  </si>
  <si>
    <t>Turno 4</t>
  </si>
  <si>
    <t>Es un dato que hace que cada residente sea único.</t>
  </si>
  <si>
    <t>Es un dato que representa el nombre del residente.</t>
  </si>
  <si>
    <t>Es un dato que representa el apellido de un residente</t>
  </si>
  <si>
    <t>Es un dato que representa la fecha de nacimiento que tiene un residente.</t>
  </si>
  <si>
    <t>Este dato representa el número de contacto de un residente.</t>
  </si>
  <si>
    <t>Este dato representa el correo electrónico de un residente</t>
  </si>
  <si>
    <t>contraseña</t>
  </si>
  <si>
    <t xml:space="preserve"> inmueble</t>
  </si>
  <si>
    <t>Jose</t>
  </si>
  <si>
    <t>Zuluf</t>
  </si>
  <si>
    <t>Cédula de Ciudadanía</t>
  </si>
  <si>
    <t>example@example.com</t>
  </si>
  <si>
    <t>Juan</t>
  </si>
  <si>
    <t>Aristisabal</t>
  </si>
  <si>
    <t xml:space="preserve">ejemplo@jueves.com </t>
  </si>
  <si>
    <t>Andres</t>
  </si>
  <si>
    <t>Velez</t>
  </si>
  <si>
    <t>andresjobpk@gmail.com</t>
  </si>
  <si>
    <t>Tarjeta de Identidad</t>
  </si>
  <si>
    <t>Corresponde a la persona que puede realizar una reserva para una zona común.</t>
  </si>
  <si>
    <t>Corresponde a los turnos que un residente puede reservar en una agenda, es decir, el residente toma un turno que esta disponible de una agenda que anteriormente ya esta programada.</t>
  </si>
  <si>
    <t>Corresponde a cada una de las reservas que pude hacer el residente, es decir, el residente puede reservar una zona común, ejemplo: El residente 001 reserva la piscina con su respectivo turno.</t>
  </si>
  <si>
    <t>3 invitados</t>
  </si>
  <si>
    <t>0 invitados</t>
  </si>
  <si>
    <t xml:space="preserve">4 invitados </t>
  </si>
  <si>
    <t>asdgf789654</t>
  </si>
  <si>
    <t>Registro civil</t>
  </si>
  <si>
    <t>nhf523698</t>
  </si>
  <si>
    <t>Pasaporte</t>
  </si>
  <si>
    <t>vfdf852339</t>
  </si>
  <si>
    <t>Alejandro</t>
  </si>
  <si>
    <t>Pérez</t>
  </si>
  <si>
    <t>alejandro.perez90@mail.com</t>
  </si>
  <si>
    <t>AlejPz90*</t>
  </si>
  <si>
    <t>María</t>
  </si>
  <si>
    <t>Gómez</t>
  </si>
  <si>
    <t>Cédula de extranjería</t>
  </si>
  <si>
    <t>maria.gomez85@mail.com</t>
  </si>
  <si>
    <t>MgoMez85!</t>
  </si>
  <si>
    <t>Rodríguez</t>
  </si>
  <si>
    <t>juan.rodriguez95@mail.com</t>
  </si>
  <si>
    <t>JuanRod95#</t>
  </si>
  <si>
    <t>Camila</t>
  </si>
  <si>
    <t>Torres</t>
  </si>
  <si>
    <t>camila.torres00@mail.com</t>
  </si>
  <si>
    <t>Ctorres2000@</t>
  </si>
  <si>
    <t>Andrés</t>
  </si>
  <si>
    <t>García</t>
  </si>
  <si>
    <t>andres.garcia92@mail.com</t>
  </si>
  <si>
    <t>Agarcia92+</t>
  </si>
  <si>
    <t>Laura</t>
  </si>
  <si>
    <t>Martínez</t>
  </si>
  <si>
    <t>laura.martinez93@mail.com</t>
  </si>
  <si>
    <t>LauraMart93^</t>
  </si>
  <si>
    <t>Felipe</t>
  </si>
  <si>
    <t>Ramírez</t>
  </si>
  <si>
    <t>felipe.ramirez88@mail.com</t>
  </si>
  <si>
    <t>FelipeRam88$</t>
  </si>
  <si>
    <t>numeroInvitados</t>
  </si>
  <si>
    <t>estadoReserva</t>
  </si>
  <si>
    <t>horaInicio</t>
  </si>
  <si>
    <t>nombre</t>
  </si>
  <si>
    <t>apellido</t>
  </si>
  <si>
    <t>Es un dato que representa el numero único del documento de un residente.</t>
  </si>
  <si>
    <t>este dato representa la contraseña con la que ingresa el residente</t>
  </si>
  <si>
    <t>Este dato representa el inmueble al cual pertenece el residente.</t>
  </si>
  <si>
    <t>Este dato representa la cantidad de invitados con los cuales el residente va hacer la reserva.</t>
  </si>
  <si>
    <t>Este dato representa la fecha de cracion de la reserva</t>
  </si>
  <si>
    <t>Este dato representa el nombre y número con el que se va a concoer el turno por defecto la palabra "Turno" y luego un numero consecutivo</t>
  </si>
  <si>
    <t>Este dato es de tipo logico el cual dice si esta disponible o no disponible un turno</t>
  </si>
  <si>
    <t>Este dato representa con que agenda está relacionada el turno.</t>
  </si>
  <si>
    <t>No es posible tener un nombre con la misma agenda para la misma hora de inicio y hora final del turno para una misma turno.</t>
  </si>
  <si>
    <t>numeroTurno</t>
  </si>
  <si>
    <t>horaFin</t>
  </si>
  <si>
    <t xml:space="preserve">Piscina-Forest apartamentos - 18  septiembre 2024 6:00:00 a. m.  hasta - 18  septiembre 2024 2:00:00 p. m. </t>
  </si>
  <si>
    <t xml:space="preserve">Gimnasio-Forest apartamentos - 18  septiembre 2024 3:00:00 p. m.  hasta - 18  septiembre 2024 9:00:00 p. m. </t>
  </si>
  <si>
    <t xml:space="preserve">piscinaAdultos-Natural - 20  septiembre 2024 10:00:00 a. m.  hasta - 20  septiembre 2024 1:00:00 p. m. </t>
  </si>
  <si>
    <t xml:space="preserve">Salón de Eventos-Riogrande - 18  septiembre 2024 8:00:00 a. m.  hasta - 18  septiembre 2024 12:00:00 p. m. </t>
  </si>
  <si>
    <t>NoDisponible</t>
  </si>
  <si>
    <t xml:space="preserve">Cancha de Fútbol-Bolivar - 18  septiembre 2024 8:00:00 a. m.  hasta - 18  septiembre 2024 12:00:00 p. m. </t>
  </si>
  <si>
    <t>este dato representa en forma textual , que tipo de documento tiene el residente como TI, CC, RC, PASS.</t>
  </si>
  <si>
    <t>No puede haber mas de un residente con el mismo tipo de documento y el mismo número de documento.</t>
  </si>
  <si>
    <t>No puede haber mas de un residente con el mismo número de contacto</t>
  </si>
  <si>
    <t>No puede haber mas de un residente con el mismo correo.</t>
  </si>
  <si>
    <t>tipoDocumento</t>
  </si>
  <si>
    <t>numeroDocumento</t>
  </si>
  <si>
    <t>fechaNacimiento</t>
  </si>
  <si>
    <t>numeroContacto</t>
  </si>
  <si>
    <t>correoElectronico</t>
  </si>
  <si>
    <t>Combinación única 1</t>
  </si>
  <si>
    <t>Combinación única 2</t>
  </si>
  <si>
    <t>Combinación única 3</t>
  </si>
  <si>
    <t>No es posible tener una reserva con un turno para el mismo residente.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</si>
</sst>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4EA72E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1" xfId="0" applyFont="1" applyBorder="1"/>
    <xf numFmtId="0" fontId="1" fillId="0" borderId="1" xfId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1" fillId="2" borderId="0" xfId="1" applyFill="1"/>
    <xf numFmtId="0" fontId="2" fillId="3" borderId="1" xfId="0" applyFont="1" applyFill="1" applyBorder="1"/>
    <xf numFmtId="0" fontId="3" fillId="0" borderId="1" xfId="0" applyFont="1" applyBorder="1"/>
    <xf numFmtId="0" fontId="0" fillId="3" borderId="1" xfId="0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49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/>
    <xf numFmtId="164" fontId="3" fillId="5" borderId="1" xfId="0" applyNumberFormat="1" applyFont="1" applyFill="1" applyBorder="1"/>
    <xf numFmtId="49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/>
    <xf numFmtId="164" fontId="3" fillId="6" borderId="1" xfId="0" applyNumberFormat="1" applyFont="1" applyFill="1" applyBorder="1"/>
    <xf numFmtId="49" fontId="3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/>
    <xf numFmtId="164" fontId="3" fillId="7" borderId="1" xfId="0" applyNumberFormat="1" applyFont="1" applyFill="1" applyBorder="1"/>
    <xf numFmtId="164" fontId="3" fillId="7" borderId="1" xfId="0" applyNumberFormat="1" applyFont="1" applyFill="1" applyBorder="1" applyAlignment="1">
      <alignment horizontal="center"/>
    </xf>
    <xf numFmtId="164" fontId="3" fillId="0" borderId="1" xfId="0" applyNumberFormat="1" applyFont="1" applyBorder="1"/>
    <xf numFmtId="1" fontId="3" fillId="0" borderId="1" xfId="0" applyNumberFormat="1" applyFont="1" applyBorder="1"/>
    <xf numFmtId="14" fontId="3" fillId="0" borderId="1" xfId="0" applyNumberFormat="1" applyFont="1" applyBorder="1"/>
    <xf numFmtId="164" fontId="1" fillId="0" borderId="1" xfId="1" applyNumberFormat="1" applyBorder="1"/>
    <xf numFmtId="1" fontId="0" fillId="3" borderId="1" xfId="0" applyNumberFormat="1" applyFill="1" applyBorder="1"/>
    <xf numFmtId="14" fontId="0" fillId="0" borderId="1" xfId="0" applyNumberFormat="1" applyBorder="1"/>
    <xf numFmtId="0" fontId="5" fillId="0" borderId="0" xfId="0" applyFont="1" applyAlignment="1">
      <alignment wrapText="1"/>
    </xf>
    <xf numFmtId="0" fontId="1" fillId="4" borderId="1" xfId="1" applyFill="1" applyBorder="1"/>
    <xf numFmtId="0" fontId="1" fillId="5" borderId="1" xfId="1" applyFill="1" applyBorder="1"/>
    <xf numFmtId="0" fontId="1" fillId="6" borderId="1" xfId="1" applyFill="1" applyBorder="1"/>
    <xf numFmtId="0" fontId="1" fillId="7" borderId="1" xfId="1" applyFill="1" applyBorder="1"/>
    <xf numFmtId="0" fontId="3" fillId="8" borderId="1" xfId="0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0" fontId="0" fillId="3" borderId="2" xfId="0" applyFill="1" applyBorder="1"/>
    <xf numFmtId="164" fontId="0" fillId="0" borderId="0" xfId="0" applyNumberFormat="1"/>
    <xf numFmtId="0" fontId="5" fillId="9" borderId="0" xfId="0" applyFont="1" applyFill="1" applyAlignment="1">
      <alignment wrapText="1"/>
    </xf>
    <xf numFmtId="0" fontId="4" fillId="0" borderId="0" xfId="0" applyFont="1" applyAlignment="1">
      <alignment wrapText="1"/>
    </xf>
    <xf numFmtId="1" fontId="1" fillId="0" borderId="1" xfId="1" applyNumberFormat="1" applyBorder="1"/>
    <xf numFmtId="0" fontId="1" fillId="2" borderId="0" xfId="1" applyFill="1" applyAlignment="1">
      <alignment horizontal="left"/>
    </xf>
    <xf numFmtId="0" fontId="2" fillId="0" borderId="1" xfId="0" applyFont="1" applyBorder="1" applyAlignment="1">
      <alignment wrapText="1"/>
    </xf>
    <xf numFmtId="0" fontId="1" fillId="0" borderId="1" xfId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1" fontId="1" fillId="0" borderId="1" xfId="1" applyNumberFormat="1" applyBorder="1" applyAlignment="1">
      <alignment horizontal="left" wrapText="1"/>
    </xf>
    <xf numFmtId="1" fontId="3" fillId="0" borderId="1" xfId="0" applyNumberFormat="1" applyFont="1" applyBorder="1" applyAlignment="1">
      <alignment horizontal="center" wrapText="1"/>
    </xf>
    <xf numFmtId="22" fontId="3" fillId="0" borderId="1" xfId="0" applyNumberFormat="1" applyFont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dre\Documents\DOO%202024%20BD\DOO\victus-doc\Doo-Doc\Nueva%20Version%20Victus\MuestreoDatos\Residentes%20Muestreo%20Datos.xlsx" TargetMode="External"/><Relationship Id="rId1" Type="http://schemas.openxmlformats.org/officeDocument/2006/relationships/externalLinkPath" Target="Residentes%20Muestreo%20Da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jetos de dominio"/>
      <sheetName val="Residente"/>
      <sheetName val="Inmueble"/>
    </sheetNames>
    <sheetDataSet>
      <sheetData sheetId="0"/>
      <sheetData sheetId="1"/>
      <sheetData sheetId="2">
        <row r="4">
          <cell r="E4" t="str">
            <v>Apartamento</v>
          </cell>
        </row>
        <row r="5">
          <cell r="E5" t="str">
            <v>Apartamento</v>
          </cell>
        </row>
        <row r="6">
          <cell r="E6" t="str">
            <v>Casa</v>
          </cell>
        </row>
        <row r="7">
          <cell r="E7" t="str">
            <v>Casa</v>
          </cell>
        </row>
        <row r="8">
          <cell r="E8" t="str">
            <v>Apartamento</v>
          </cell>
        </row>
        <row r="9">
          <cell r="E9" t="str">
            <v>Casa</v>
          </cell>
        </row>
        <row r="10">
          <cell r="E10" t="str">
            <v>Apartamento</v>
          </cell>
        </row>
        <row r="11">
          <cell r="E11" t="str">
            <v>Casa</v>
          </cell>
        </row>
        <row r="12">
          <cell r="E12" t="str">
            <v>Apartamento</v>
          </cell>
        </row>
        <row r="13">
          <cell r="E13" t="str">
            <v>Casa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andresjobpk@gmail.com" TargetMode="External"/><Relationship Id="rId2" Type="http://schemas.openxmlformats.org/officeDocument/2006/relationships/hyperlink" Target="mailto:ejemplo@jueves.com" TargetMode="External"/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1087-9E97-4542-829D-B3B83CB492EF}">
  <dimension ref="A1:B4"/>
  <sheetViews>
    <sheetView workbookViewId="0">
      <selection activeCell="B4" sqref="B4"/>
    </sheetView>
  </sheetViews>
  <sheetFormatPr baseColWidth="10" defaultColWidth="11.5703125" defaultRowHeight="15" x14ac:dyDescent="0.25"/>
  <cols>
    <col min="1" max="1" width="27.7109375" customWidth="1"/>
    <col min="2" max="2" width="58.28515625" customWidth="1"/>
  </cols>
  <sheetData>
    <row r="1" spans="1:2" x14ac:dyDescent="0.25">
      <c r="A1" s="1" t="s">
        <v>0</v>
      </c>
      <c r="B1" s="1" t="s">
        <v>1</v>
      </c>
    </row>
    <row r="2" spans="1:2" ht="60" x14ac:dyDescent="0.25">
      <c r="A2" s="2" t="s">
        <v>4</v>
      </c>
      <c r="B2" s="3" t="s">
        <v>49</v>
      </c>
    </row>
    <row r="3" spans="1:2" ht="60" x14ac:dyDescent="0.25">
      <c r="A3" s="2" t="s">
        <v>3</v>
      </c>
      <c r="B3" s="3" t="s">
        <v>48</v>
      </c>
    </row>
    <row r="4" spans="1:2" ht="30" x14ac:dyDescent="0.25">
      <c r="A4" s="2" t="s">
        <v>5</v>
      </c>
      <c r="B4" s="3" t="s">
        <v>47</v>
      </c>
    </row>
  </sheetData>
  <hyperlinks>
    <hyperlink ref="A2" location="Reserva!A1" display="Reserva" xr:uid="{232FD757-C1BA-4879-B1AC-413C2E156F88}"/>
    <hyperlink ref="A4" location="Residente!A1" display="Residente" xr:uid="{6AA1EB32-685F-45EE-8CF6-A987EB91F51E}"/>
    <hyperlink ref="A3" location="Turno!A1" display="Turno" xr:uid="{85ABDCED-6952-4DE9-9BE8-16DE1AFB38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6C67-4ACF-4F34-ACBA-8F9695F1FA3D}">
  <dimension ref="A1:G14"/>
  <sheetViews>
    <sheetView workbookViewId="0">
      <selection activeCell="D15" sqref="D15"/>
    </sheetView>
  </sheetViews>
  <sheetFormatPr baseColWidth="10" defaultColWidth="11.5703125" defaultRowHeight="15" x14ac:dyDescent="0.25"/>
  <cols>
    <col min="1" max="1" width="13.140625" customWidth="1"/>
    <col min="2" max="2" width="23.5703125" customWidth="1"/>
    <col min="3" max="3" width="89.42578125" customWidth="1"/>
    <col min="4" max="4" width="34.28515625" customWidth="1"/>
    <col min="5" max="6" width="23.5703125" customWidth="1"/>
    <col min="7" max="7" width="79.7109375" customWidth="1"/>
  </cols>
  <sheetData>
    <row r="1" spans="1:7" x14ac:dyDescent="0.25">
      <c r="A1" s="40" t="s">
        <v>6</v>
      </c>
      <c r="B1" s="40"/>
      <c r="C1" s="40"/>
      <c r="D1" s="5"/>
      <c r="E1" s="5"/>
      <c r="F1" s="5"/>
    </row>
    <row r="2" spans="1:7" s="27" customFormat="1" ht="81" x14ac:dyDescent="0.25">
      <c r="A2" s="27" t="s">
        <v>7</v>
      </c>
      <c r="B2" s="27" t="s">
        <v>94</v>
      </c>
      <c r="C2" s="27" t="s">
        <v>8</v>
      </c>
      <c r="D2" s="27" t="s">
        <v>9</v>
      </c>
      <c r="E2" s="27" t="s">
        <v>95</v>
      </c>
      <c r="F2" s="27" t="s">
        <v>10</v>
      </c>
      <c r="G2" s="27" t="s">
        <v>120</v>
      </c>
    </row>
    <row r="3" spans="1:7" x14ac:dyDescent="0.25">
      <c r="A3" s="41" t="s">
        <v>11</v>
      </c>
      <c r="B3" s="41" t="s">
        <v>86</v>
      </c>
      <c r="C3" s="42" t="s">
        <v>3</v>
      </c>
      <c r="D3" s="42" t="s">
        <v>5</v>
      </c>
      <c r="E3" s="41" t="s">
        <v>12</v>
      </c>
      <c r="F3" s="41" t="s">
        <v>87</v>
      </c>
      <c r="G3" s="43" t="s">
        <v>13</v>
      </c>
    </row>
    <row r="4" spans="1:7" ht="45" x14ac:dyDescent="0.25">
      <c r="A4" s="44">
        <v>1</v>
      </c>
      <c r="B4" s="3" t="s">
        <v>15</v>
      </c>
      <c r="C4" s="45" t="str">
        <f>Turno!$G$6</f>
        <v xml:space="preserve">Turno 3-Piscina-Forest apartamentos - 18  septiembre 2024 6:00:00 a. m.  hasta - 18  septiembre 2024 2:00:00 p. m. - 10:00:00 a. m. - 12:00:00 p. m. </v>
      </c>
      <c r="D4" s="46" t="str">
        <f>Residente!$K$4</f>
        <v>Cédula de Ciudadanía-74564891</v>
      </c>
      <c r="E4" s="47" t="str">
        <f ca="1">TEXT(TODAY(),"dd/mm/yyyy")</f>
        <v>02/11/2024</v>
      </c>
      <c r="F4" s="48" t="s">
        <v>14</v>
      </c>
      <c r="G4" s="49" t="str">
        <f>C4&amp;"-"&amp;D4</f>
        <v>Turno 3-Piscina-Forest apartamentos - 18  septiembre 2024 6:00:00 a. m.  hasta - 18  septiembre 2024 2:00:00 p. m. - 10:00:00 a. m. - 12:00:00 p. m. -Cédula de Ciudadanía-74564891</v>
      </c>
    </row>
    <row r="5" spans="1:7" ht="30" x14ac:dyDescent="0.25">
      <c r="A5" s="44">
        <v>2</v>
      </c>
      <c r="B5" s="3" t="s">
        <v>17</v>
      </c>
      <c r="C5" s="45" t="str">
        <f>Turno!$G$9</f>
        <v xml:space="preserve">Turno 2-Gimnasio-Forest apartamentos - 18  septiembre 2024 3:00:00 p. m.  hasta - 18  septiembre 2024 9:00:00 p. m. - 5:00:00 p. m. - 7:00:00 p. m. </v>
      </c>
      <c r="D5" s="46" t="str">
        <f>Residente!$K$5</f>
        <v>Registro civil-16513516</v>
      </c>
      <c r="E5" s="47" t="str">
        <f t="shared" ref="E5:E10" ca="1" si="0">TEXT(TODAY(),"dd/mm/yyyy")</f>
        <v>02/11/2024</v>
      </c>
      <c r="F5" s="48" t="s">
        <v>16</v>
      </c>
      <c r="G5" s="49" t="str">
        <f t="shared" ref="G5:G10" si="1">C5&amp;"-"&amp;D5</f>
        <v>Turno 2-Gimnasio-Forest apartamentos - 18  septiembre 2024 3:00:00 p. m.  hasta - 18  septiembre 2024 9:00:00 p. m. - 5:00:00 p. m. - 7:00:00 p. m. -Registro civil-16513516</v>
      </c>
    </row>
    <row r="6" spans="1:7" ht="30" x14ac:dyDescent="0.25">
      <c r="A6" s="44">
        <v>3</v>
      </c>
      <c r="B6" s="3" t="s">
        <v>18</v>
      </c>
      <c r="C6" s="45" t="str">
        <f>Turno!$G$13</f>
        <v xml:space="preserve">Turno 3-piscinaAdultos-Natural - 20  septiembre 2024 10:00:00 a. m.  hasta - 20  septiembre 2024 1:00:00 p. m. - 12:00:00 p. m. - 1:00:00 p. m. </v>
      </c>
      <c r="D6" s="46" t="str">
        <f>Residente!$K$6</f>
        <v>Pasaporte-8552369</v>
      </c>
      <c r="E6" s="47" t="str">
        <f t="shared" ca="1" si="0"/>
        <v>02/11/2024</v>
      </c>
      <c r="F6" s="48" t="s">
        <v>14</v>
      </c>
      <c r="G6" s="49" t="str">
        <f t="shared" si="1"/>
        <v>Turno 3-piscinaAdultos-Natural - 20  septiembre 2024 10:00:00 a. m.  hasta - 20  septiembre 2024 1:00:00 p. m. - 12:00:00 p. m. - 1:00:00 p. m. -Pasaporte-8552369</v>
      </c>
    </row>
    <row r="7" spans="1:7" ht="45" x14ac:dyDescent="0.25">
      <c r="A7" s="44">
        <v>4</v>
      </c>
      <c r="B7" s="3" t="s">
        <v>50</v>
      </c>
      <c r="C7" s="50" t="str">
        <f>Turno!$G$10</f>
        <v xml:space="preserve">Turno 3-Gimnasio-Forest apartamentos - 18  septiembre 2024 3:00:00 p. m.  hasta - 18  septiembre 2024 9:00:00 p. m. - 7:00:00 p. m. - 9:00:00 p. m. </v>
      </c>
      <c r="D7" s="46" t="str">
        <f>Residente!K9</f>
        <v>Cédula de Ciudadanía-1034567890</v>
      </c>
      <c r="E7" s="47" t="str">
        <f t="shared" ca="1" si="0"/>
        <v>02/11/2024</v>
      </c>
      <c r="F7" s="48" t="s">
        <v>14</v>
      </c>
      <c r="G7" s="49" t="str">
        <f t="shared" si="1"/>
        <v>Turno 3-Gimnasio-Forest apartamentos - 18  septiembre 2024 3:00:00 p. m.  hasta - 18  septiembre 2024 9:00:00 p. m. - 7:00:00 p. m. - 9:00:00 p. m. -Cédula de Ciudadanía-1034567890</v>
      </c>
    </row>
    <row r="8" spans="1:7" ht="45" x14ac:dyDescent="0.25">
      <c r="A8" s="44">
        <v>5</v>
      </c>
      <c r="B8" s="3" t="s">
        <v>51</v>
      </c>
      <c r="C8" s="50" t="str">
        <f>Turno!G12</f>
        <v xml:space="preserve">Turno 2-piscinaAdultos-Natural - 20  septiembre 2024 10:00:00 a. m.  hasta - 20  septiembre 2024 1:00:00 p. m. - 11:00:00 a. m. - 12:00:00 p. m. </v>
      </c>
      <c r="D8" s="46" t="str">
        <f>Residente!K10</f>
        <v>Tarjeta de Identidad-900123456</v>
      </c>
      <c r="E8" s="47" t="str">
        <f t="shared" ca="1" si="0"/>
        <v>02/11/2024</v>
      </c>
      <c r="F8" s="48" t="s">
        <v>14</v>
      </c>
      <c r="G8" s="49" t="str">
        <f t="shared" si="1"/>
        <v>Turno 2-piscinaAdultos-Natural - 20  septiembre 2024 10:00:00 a. m.  hasta - 20  septiembre 2024 1:00:00 p. m. - 11:00:00 a. m. - 12:00:00 p. m. -Tarjeta de Identidad-900123456</v>
      </c>
    </row>
    <row r="9" spans="1:7" ht="30" x14ac:dyDescent="0.25">
      <c r="A9" s="44">
        <v>6</v>
      </c>
      <c r="B9" s="3" t="s">
        <v>52</v>
      </c>
      <c r="C9" s="50" t="str">
        <f>Turno!G6</f>
        <v xml:space="preserve">Turno 3-Piscina-Forest apartamentos - 18  septiembre 2024 6:00:00 a. m.  hasta - 18  septiembre 2024 2:00:00 p. m. - 10:00:00 a. m. - 12:00:00 p. m. </v>
      </c>
      <c r="D9" s="46" t="str">
        <f>Residente!K11</f>
        <v>Pasaporte-1045678901</v>
      </c>
      <c r="E9" s="47" t="str">
        <f t="shared" ca="1" si="0"/>
        <v>02/11/2024</v>
      </c>
      <c r="F9" s="48" t="s">
        <v>16</v>
      </c>
      <c r="G9" s="49" t="str">
        <f t="shared" si="1"/>
        <v>Turno 3-Piscina-Forest apartamentos - 18  septiembre 2024 6:00:00 a. m.  hasta - 18  septiembre 2024 2:00:00 p. m. - 10:00:00 a. m. - 12:00:00 p. m. -Pasaporte-1045678901</v>
      </c>
    </row>
    <row r="10" spans="1:7" ht="45" x14ac:dyDescent="0.25">
      <c r="A10" s="44">
        <v>7</v>
      </c>
      <c r="B10" s="3" t="s">
        <v>51</v>
      </c>
      <c r="C10" s="50" t="str">
        <f>Turno!$G$8</f>
        <v xml:space="preserve">Turno 1-Gimnasio-Forest apartamentos - 18  septiembre 2024 3:00:00 p. m.  hasta - 18  septiembre 2024 9:00:00 p. m. - 3:00:00 p. m. - 5:00:00 p. m. </v>
      </c>
      <c r="D10" s="46" t="str">
        <f>Residente!K13</f>
        <v>Cédula de Ciudadanía-1067890123</v>
      </c>
      <c r="E10" s="47" t="str">
        <f t="shared" ca="1" si="0"/>
        <v>02/11/2024</v>
      </c>
      <c r="F10" s="48" t="s">
        <v>14</v>
      </c>
      <c r="G10" s="49" t="str">
        <f t="shared" si="1"/>
        <v>Turno 1-Gimnasio-Forest apartamentos - 18  septiembre 2024 3:00:00 p. m.  hasta - 18  septiembre 2024 9:00:00 p. m. - 3:00:00 p. m. - 5:00:00 p. m. -Cédula de Ciudadanía-1067890123</v>
      </c>
    </row>
    <row r="11" spans="1:7" x14ac:dyDescent="0.25">
      <c r="A11" s="51"/>
      <c r="B11" s="51"/>
      <c r="C11" s="51"/>
      <c r="D11" s="51"/>
      <c r="E11" s="51"/>
      <c r="F11" s="51"/>
      <c r="G11" s="51"/>
    </row>
    <row r="12" spans="1:7" x14ac:dyDescent="0.25">
      <c r="A12" s="51"/>
      <c r="B12" s="51"/>
      <c r="C12" s="51"/>
      <c r="D12" s="51"/>
      <c r="E12" s="51"/>
      <c r="F12" s="51"/>
      <c r="G12" s="51"/>
    </row>
    <row r="13" spans="1:7" x14ac:dyDescent="0.25">
      <c r="A13" s="51"/>
      <c r="B13" s="51"/>
      <c r="C13" s="51"/>
      <c r="D13" s="51"/>
      <c r="E13" s="51"/>
      <c r="F13" s="51"/>
      <c r="G13" s="51"/>
    </row>
    <row r="14" spans="1:7" x14ac:dyDescent="0.25">
      <c r="A14" s="51"/>
      <c r="B14" s="51"/>
      <c r="C14" s="51"/>
      <c r="D14" s="51"/>
      <c r="E14" s="51"/>
      <c r="F14" s="51"/>
      <c r="G14" s="51"/>
    </row>
  </sheetData>
  <mergeCells count="1">
    <mergeCell ref="A1:C1"/>
  </mergeCells>
  <dataValidations count="1">
    <dataValidation type="list" allowBlank="1" showInputMessage="1" showErrorMessage="1" sqref="F4:F8" xr:uid="{C94558F3-3AAE-4C84-97CD-F6EE65EBB367}">
      <formula1>$I$3:$I$4</formula1>
    </dataValidation>
  </dataValidations>
  <hyperlinks>
    <hyperlink ref="A1" location="'Objetos de dominio'!A1" display="&lt;&lt;&lt;&lt;&lt;&lt; Volver al inicio" xr:uid="{DDEDC367-5BDD-4266-8357-CD930E0CD9D2}"/>
    <hyperlink ref="A1:C1" location="'Objetos de dominio'!A1" display="&lt;&lt;&lt;&lt;&lt;&lt; Volver al inicio" xr:uid="{D7116AC3-8566-43F0-B408-2E2909DA3116}"/>
    <hyperlink ref="C3" location="Turno!A1" display="Turno" xr:uid="{1A770CF0-CA72-44A6-9960-3FF3732118FA}"/>
    <hyperlink ref="C4" location="Turno!A6" display="Turno!A6" xr:uid="{38F1240B-E019-4759-B322-860D57456BA0}"/>
    <hyperlink ref="C5" location="Turno!A9" display="Turno!A9" xr:uid="{1932EA89-E1A8-45CF-8419-2ED5D086EA5C}"/>
    <hyperlink ref="C6" location="Turno!A13" display="Turno!A13" xr:uid="{8A9019F5-D118-4AEB-B4F3-788B57F5298A}"/>
    <hyperlink ref="D3" location="Residente!A1" display="Residente" xr:uid="{6AC758EB-7F39-4B10-A497-19B4DBC25577}"/>
    <hyperlink ref="D4" location="Residente!A4" display="Residente!A4" xr:uid="{856CF758-E8A2-419A-B406-B8BEA297BEF6}"/>
    <hyperlink ref="D5" location="Residente!A5" display="Residente!A5" xr:uid="{3BB0CB21-54D9-4C33-9457-3579EFBA5F25}"/>
    <hyperlink ref="D6" location="Residente!A6" display="Residente!A6" xr:uid="{3AC7C510-D5DC-4435-942E-114F1A25FB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A702-FD28-42AA-96CF-A0FF0C0CE614}">
  <dimension ref="A1:G31"/>
  <sheetViews>
    <sheetView workbookViewId="0">
      <selection activeCell="A6" sqref="A6"/>
    </sheetView>
  </sheetViews>
  <sheetFormatPr baseColWidth="10" defaultColWidth="11.5703125" defaultRowHeight="15" x14ac:dyDescent="0.25"/>
  <cols>
    <col min="1" max="1" width="14.140625" customWidth="1"/>
    <col min="2" max="2" width="18" customWidth="1"/>
    <col min="3" max="4" width="21.7109375" customWidth="1"/>
    <col min="5" max="5" width="14.7109375" customWidth="1"/>
    <col min="6" max="6" width="133.7109375" customWidth="1"/>
    <col min="7" max="7" width="140.7109375" customWidth="1"/>
  </cols>
  <sheetData>
    <row r="1" spans="1:7" x14ac:dyDescent="0.25">
      <c r="A1" s="40" t="s">
        <v>6</v>
      </c>
      <c r="B1" s="40"/>
      <c r="C1" s="40"/>
      <c r="D1" s="40"/>
      <c r="E1" s="40"/>
      <c r="F1" s="5"/>
    </row>
    <row r="2" spans="1:7" ht="94.5" x14ac:dyDescent="0.25">
      <c r="A2" s="27" t="s">
        <v>19</v>
      </c>
      <c r="B2" s="27" t="s">
        <v>96</v>
      </c>
      <c r="C2" s="27" t="s">
        <v>20</v>
      </c>
      <c r="D2" s="27" t="s">
        <v>21</v>
      </c>
      <c r="E2" s="27" t="s">
        <v>97</v>
      </c>
      <c r="F2" s="27" t="s">
        <v>98</v>
      </c>
      <c r="G2" s="27" t="s">
        <v>99</v>
      </c>
    </row>
    <row r="3" spans="1:7" x14ac:dyDescent="0.25">
      <c r="A3" s="1" t="s">
        <v>11</v>
      </c>
      <c r="B3" s="1" t="s">
        <v>100</v>
      </c>
      <c r="C3" s="1" t="s">
        <v>88</v>
      </c>
      <c r="D3" s="1" t="s">
        <v>101</v>
      </c>
      <c r="E3" s="1" t="s">
        <v>24</v>
      </c>
      <c r="F3" s="2" t="s">
        <v>2</v>
      </c>
      <c r="G3" s="6" t="s">
        <v>13</v>
      </c>
    </row>
    <row r="4" spans="1:7" x14ac:dyDescent="0.25">
      <c r="A4" s="9">
        <v>1</v>
      </c>
      <c r="B4" s="9" t="s">
        <v>22</v>
      </c>
      <c r="C4" s="10">
        <v>0.25</v>
      </c>
      <c r="D4" s="10">
        <v>0.33333333333333331</v>
      </c>
      <c r="E4" s="11" t="s">
        <v>23</v>
      </c>
      <c r="F4" s="28" t="s">
        <v>102</v>
      </c>
      <c r="G4" s="8" t="str">
        <f>_xlfn.CONCAT(B4,"-",F4,"-",TEXT(C4," h:mm:ss AM/PM "),"-",TEXT(D4," h:mm:ss AM/PM "))</f>
        <v xml:space="preserve">Turno 1-Piscina-Forest apartamentos - 18  septiembre 2024 6:00:00 a. m.  hasta - 18  septiembre 2024 2:00:00 p. m. - 6:00:00 a. m. - 8:00:00 a. m. </v>
      </c>
    </row>
    <row r="5" spans="1:7" x14ac:dyDescent="0.25">
      <c r="A5" s="9">
        <v>2</v>
      </c>
      <c r="B5" s="9" t="s">
        <v>25</v>
      </c>
      <c r="C5" s="10">
        <v>0.33333333333333331</v>
      </c>
      <c r="D5" s="10">
        <v>0.41666666666666669</v>
      </c>
      <c r="E5" s="11" t="s">
        <v>23</v>
      </c>
      <c r="F5" s="28" t="s">
        <v>102</v>
      </c>
      <c r="G5" s="8" t="str">
        <f t="shared" ref="G5:G21" si="0">_xlfn.CONCAT(B5,"-",F5,"-",TEXT(C5," h:mm:ss AM/PM "),"-",TEXT(D5," h:mm:ss AM/PM "))</f>
        <v xml:space="preserve">Turno 2-Piscina-Forest apartamentos - 18  septiembre 2024 6:00:00 a. m.  hasta - 18  septiembre 2024 2:00:00 p. m. - 8:00:00 a. m. - 10:00:00 a. m. </v>
      </c>
    </row>
    <row r="6" spans="1:7" x14ac:dyDescent="0.25">
      <c r="A6" s="9">
        <v>3</v>
      </c>
      <c r="B6" s="9" t="s">
        <v>26</v>
      </c>
      <c r="C6" s="10">
        <v>0.41666666666666669</v>
      </c>
      <c r="D6" s="10">
        <v>0.5</v>
      </c>
      <c r="E6" s="11" t="s">
        <v>23</v>
      </c>
      <c r="F6" s="28" t="s">
        <v>102</v>
      </c>
      <c r="G6" s="8" t="str">
        <f t="shared" si="0"/>
        <v xml:space="preserve">Turno 3-Piscina-Forest apartamentos - 18  septiembre 2024 6:00:00 a. m.  hasta - 18  septiembre 2024 2:00:00 p. m. - 10:00:00 a. m. - 12:00:00 p. m. </v>
      </c>
    </row>
    <row r="7" spans="1:7" x14ac:dyDescent="0.25">
      <c r="A7" s="9">
        <v>4</v>
      </c>
      <c r="B7" s="9" t="s">
        <v>27</v>
      </c>
      <c r="C7" s="10">
        <v>0.54166666666666696</v>
      </c>
      <c r="D7" s="10">
        <v>0.58333333333333404</v>
      </c>
      <c r="E7" s="11" t="s">
        <v>23</v>
      </c>
      <c r="F7" s="28" t="s">
        <v>102</v>
      </c>
      <c r="G7" s="8" t="str">
        <f t="shared" si="0"/>
        <v xml:space="preserve">Turno 4-Piscina-Forest apartamentos - 18  septiembre 2024 6:00:00 a. m.  hasta - 18  septiembre 2024 2:00:00 p. m. - 1:00:00 p. m. - 2:00:00 p. m. </v>
      </c>
    </row>
    <row r="8" spans="1:7" x14ac:dyDescent="0.25">
      <c r="A8" s="12">
        <v>5</v>
      </c>
      <c r="B8" s="12" t="s">
        <v>22</v>
      </c>
      <c r="C8" s="13">
        <v>0.625</v>
      </c>
      <c r="D8" s="13">
        <v>0.70833333333333337</v>
      </c>
      <c r="E8" s="14" t="s">
        <v>23</v>
      </c>
      <c r="F8" s="29" t="s">
        <v>103</v>
      </c>
      <c r="G8" s="8" t="str">
        <f t="shared" si="0"/>
        <v xml:space="preserve">Turno 1-Gimnasio-Forest apartamentos - 18  septiembre 2024 3:00:00 p. m.  hasta - 18  septiembre 2024 9:00:00 p. m. - 3:00:00 p. m. - 5:00:00 p. m. </v>
      </c>
    </row>
    <row r="9" spans="1:7" x14ac:dyDescent="0.25">
      <c r="A9" s="12">
        <v>6</v>
      </c>
      <c r="B9" s="12" t="s">
        <v>25</v>
      </c>
      <c r="C9" s="13">
        <v>0.70833333333333337</v>
      </c>
      <c r="D9" s="13">
        <v>0.79166666666666663</v>
      </c>
      <c r="E9" s="14" t="s">
        <v>23</v>
      </c>
      <c r="F9" s="29" t="s">
        <v>103</v>
      </c>
      <c r="G9" s="8" t="str">
        <f t="shared" si="0"/>
        <v xml:space="preserve">Turno 2-Gimnasio-Forest apartamentos - 18  septiembre 2024 3:00:00 p. m.  hasta - 18  septiembre 2024 9:00:00 p. m. - 5:00:00 p. m. - 7:00:00 p. m. </v>
      </c>
    </row>
    <row r="10" spans="1:7" x14ac:dyDescent="0.25">
      <c r="A10" s="12">
        <v>7</v>
      </c>
      <c r="B10" s="12" t="s">
        <v>26</v>
      </c>
      <c r="C10" s="13">
        <v>0.79166666666666663</v>
      </c>
      <c r="D10" s="13">
        <v>0.875</v>
      </c>
      <c r="E10" s="14" t="s">
        <v>23</v>
      </c>
      <c r="F10" s="29" t="s">
        <v>103</v>
      </c>
      <c r="G10" s="8" t="str">
        <f t="shared" si="0"/>
        <v xml:space="preserve">Turno 3-Gimnasio-Forest apartamentos - 18  septiembre 2024 3:00:00 p. m.  hasta - 18  septiembre 2024 9:00:00 p. m. - 7:00:00 p. m. - 9:00:00 p. m. </v>
      </c>
    </row>
    <row r="11" spans="1:7" x14ac:dyDescent="0.25">
      <c r="A11" s="15">
        <v>8</v>
      </c>
      <c r="B11" s="15" t="s">
        <v>22</v>
      </c>
      <c r="C11" s="16">
        <v>0.91666666666666663</v>
      </c>
      <c r="D11" s="16">
        <v>0.95833333333333337</v>
      </c>
      <c r="E11" s="17" t="s">
        <v>23</v>
      </c>
      <c r="F11" s="30" t="s">
        <v>104</v>
      </c>
      <c r="G11" s="8" t="str">
        <f t="shared" si="0"/>
        <v xml:space="preserve">Turno 1-piscinaAdultos-Natural - 20  septiembre 2024 10:00:00 a. m.  hasta - 20  septiembre 2024 1:00:00 p. m. - 10:00:00 p. m. - 11:00:00 p. m. </v>
      </c>
    </row>
    <row r="12" spans="1:7" x14ac:dyDescent="0.25">
      <c r="A12" s="15">
        <v>9</v>
      </c>
      <c r="B12" s="15" t="s">
        <v>25</v>
      </c>
      <c r="C12" s="16">
        <v>0.45833333333333331</v>
      </c>
      <c r="D12" s="16">
        <v>0.5</v>
      </c>
      <c r="E12" s="17" t="s">
        <v>23</v>
      </c>
      <c r="F12" s="30" t="s">
        <v>104</v>
      </c>
      <c r="G12" s="8" t="str">
        <f t="shared" si="0"/>
        <v xml:space="preserve">Turno 2-piscinaAdultos-Natural - 20  septiembre 2024 10:00:00 a. m.  hasta - 20  septiembre 2024 1:00:00 p. m. - 11:00:00 a. m. - 12:00:00 p. m. </v>
      </c>
    </row>
    <row r="13" spans="1:7" x14ac:dyDescent="0.25">
      <c r="A13" s="15">
        <v>10</v>
      </c>
      <c r="B13" s="15" t="s">
        <v>26</v>
      </c>
      <c r="C13" s="16">
        <v>0.5</v>
      </c>
      <c r="D13" s="16">
        <v>0.54166666666666663</v>
      </c>
      <c r="E13" s="17" t="s">
        <v>23</v>
      </c>
      <c r="F13" s="30" t="s">
        <v>104</v>
      </c>
      <c r="G13" s="8" t="str">
        <f t="shared" si="0"/>
        <v xml:space="preserve">Turno 3-piscinaAdultos-Natural - 20  septiembre 2024 10:00:00 a. m.  hasta - 20  septiembre 2024 1:00:00 p. m. - 12:00:00 p. m. - 1:00:00 p. m. </v>
      </c>
    </row>
    <row r="14" spans="1:7" x14ac:dyDescent="0.25">
      <c r="A14" s="18">
        <v>11</v>
      </c>
      <c r="B14" s="18" t="s">
        <v>22</v>
      </c>
      <c r="C14" s="19">
        <v>0.33333333333333331</v>
      </c>
      <c r="D14" s="19">
        <v>0.375</v>
      </c>
      <c r="E14" s="20" t="s">
        <v>23</v>
      </c>
      <c r="F14" s="31" t="s">
        <v>105</v>
      </c>
      <c r="G14" s="8" t="str">
        <f t="shared" si="0"/>
        <v xml:space="preserve">Turno 1-Salón de Eventos-Riogrande - 18  septiembre 2024 8:00:00 a. m.  hasta - 18  septiembre 2024 12:00:00 p. m. - 8:00:00 a. m. - 9:00:00 a. m. </v>
      </c>
    </row>
    <row r="15" spans="1:7" x14ac:dyDescent="0.25">
      <c r="A15" s="18">
        <v>12</v>
      </c>
      <c r="B15" s="18" t="s">
        <v>25</v>
      </c>
      <c r="C15" s="19">
        <v>0.375</v>
      </c>
      <c r="D15" s="19">
        <v>0.41666666666666702</v>
      </c>
      <c r="E15" s="20" t="s">
        <v>23</v>
      </c>
      <c r="F15" s="31" t="s">
        <v>105</v>
      </c>
      <c r="G15" s="8" t="str">
        <f t="shared" si="0"/>
        <v xml:space="preserve">Turno 2-Salón de Eventos-Riogrande - 18  septiembre 2024 8:00:00 a. m.  hasta - 18  septiembre 2024 12:00:00 p. m. - 9:00:00 a. m. - 10:00:00 a. m. </v>
      </c>
    </row>
    <row r="16" spans="1:7" x14ac:dyDescent="0.25">
      <c r="A16" s="18">
        <v>13</v>
      </c>
      <c r="B16" s="18" t="s">
        <v>26</v>
      </c>
      <c r="C16" s="19">
        <v>0.41666666666666702</v>
      </c>
      <c r="D16" s="19">
        <v>0.45833333333333398</v>
      </c>
      <c r="E16" s="20" t="s">
        <v>23</v>
      </c>
      <c r="F16" s="31" t="s">
        <v>105</v>
      </c>
      <c r="G16" s="8" t="str">
        <f t="shared" si="0"/>
        <v xml:space="preserve">Turno 3-Salón de Eventos-Riogrande - 18  septiembre 2024 8:00:00 a. m.  hasta - 18  septiembre 2024 12:00:00 p. m. - 10:00:00 a. m. - 11:00:00 a. m. </v>
      </c>
    </row>
    <row r="17" spans="1:7" x14ac:dyDescent="0.25">
      <c r="A17" s="18">
        <v>14</v>
      </c>
      <c r="B17" s="18" t="s">
        <v>27</v>
      </c>
      <c r="C17" s="19">
        <v>0.45833333333333398</v>
      </c>
      <c r="D17" s="19">
        <v>0.500000000000001</v>
      </c>
      <c r="E17" s="20" t="s">
        <v>23</v>
      </c>
      <c r="F17" s="31" t="s">
        <v>105</v>
      </c>
      <c r="G17" s="8" t="str">
        <f t="shared" si="0"/>
        <v xml:space="preserve">Turno 4-Salón de Eventos-Riogrande - 18  septiembre 2024 8:00:00 a. m.  hasta - 18  septiembre 2024 12:00:00 p. m. - 11:00:00 a. m. - 12:00:00 p. m. </v>
      </c>
    </row>
    <row r="18" spans="1:7" x14ac:dyDescent="0.25">
      <c r="A18" s="32">
        <v>15</v>
      </c>
      <c r="B18" s="33" t="s">
        <v>22</v>
      </c>
      <c r="C18" s="33">
        <v>0.33333333333333331</v>
      </c>
      <c r="D18" s="33">
        <v>0.375</v>
      </c>
      <c r="E18" s="34" t="s">
        <v>106</v>
      </c>
      <c r="F18" s="33" t="s">
        <v>107</v>
      </c>
      <c r="G18" s="8" t="str">
        <f t="shared" si="0"/>
        <v xml:space="preserve">Turno 1-Cancha de Fútbol-Bolivar - 18  septiembre 2024 8:00:00 a. m.  hasta - 18  septiembre 2024 12:00:00 p. m. - 8:00:00 a. m. - 9:00:00 a. m. </v>
      </c>
    </row>
    <row r="19" spans="1:7" x14ac:dyDescent="0.25">
      <c r="A19" s="32">
        <v>16</v>
      </c>
      <c r="B19" s="33" t="s">
        <v>25</v>
      </c>
      <c r="C19" s="33">
        <v>0.375</v>
      </c>
      <c r="D19" s="33">
        <v>0.41666666666666702</v>
      </c>
      <c r="E19" s="34" t="s">
        <v>106</v>
      </c>
      <c r="F19" s="33" t="s">
        <v>107</v>
      </c>
      <c r="G19" s="8" t="str">
        <f t="shared" si="0"/>
        <v xml:space="preserve">Turno 2-Cancha de Fútbol-Bolivar - 18  septiembre 2024 8:00:00 a. m.  hasta - 18  septiembre 2024 12:00:00 p. m. - 9:00:00 a. m. - 10:00:00 a. m. </v>
      </c>
    </row>
    <row r="20" spans="1:7" x14ac:dyDescent="0.25">
      <c r="A20" s="32">
        <v>17</v>
      </c>
      <c r="B20" s="33" t="s">
        <v>26</v>
      </c>
      <c r="C20" s="33">
        <v>0.41666666666666702</v>
      </c>
      <c r="D20" s="33">
        <v>0.45833333333333398</v>
      </c>
      <c r="E20" s="34" t="s">
        <v>106</v>
      </c>
      <c r="F20" s="33" t="s">
        <v>107</v>
      </c>
      <c r="G20" s="8" t="str">
        <f t="shared" si="0"/>
        <v xml:space="preserve">Turno 3-Cancha de Fútbol-Bolivar - 18  septiembre 2024 8:00:00 a. m.  hasta - 18  septiembre 2024 12:00:00 p. m. - 10:00:00 a. m. - 11:00:00 a. m. </v>
      </c>
    </row>
    <row r="21" spans="1:7" x14ac:dyDescent="0.25">
      <c r="A21" s="32">
        <v>18</v>
      </c>
      <c r="B21" s="33" t="s">
        <v>27</v>
      </c>
      <c r="C21" s="33">
        <v>0.45833333333333398</v>
      </c>
      <c r="D21" s="33">
        <v>0.500000000000001</v>
      </c>
      <c r="E21" s="34" t="s">
        <v>106</v>
      </c>
      <c r="F21" s="33" t="s">
        <v>107</v>
      </c>
      <c r="G21" s="8" t="str">
        <f t="shared" si="0"/>
        <v xml:space="preserve">Turno 4-Cancha de Fútbol-Bolivar - 18  septiembre 2024 8:00:00 a. m.  hasta - 18  septiembre 2024 12:00:00 p. m. - 11:00:00 a. m. - 12:00:00 p. m. </v>
      </c>
    </row>
    <row r="22" spans="1:7" x14ac:dyDescent="0.25">
      <c r="A22" s="18">
        <v>19</v>
      </c>
      <c r="B22" s="4"/>
      <c r="C22" s="4"/>
      <c r="D22" s="4"/>
      <c r="E22" s="4"/>
      <c r="F22" s="4"/>
      <c r="G22" s="35" t="str">
        <f t="shared" ref="G22:G27" si="1">_xlfn.CONCAT(B22,"-",F22)</f>
        <v>-</v>
      </c>
    </row>
    <row r="23" spans="1:7" x14ac:dyDescent="0.25">
      <c r="A23" s="18">
        <v>20</v>
      </c>
      <c r="B23" s="4"/>
      <c r="C23" s="4"/>
      <c r="D23" s="4"/>
      <c r="E23" s="4"/>
      <c r="F23" s="4"/>
      <c r="G23" s="35" t="str">
        <f t="shared" si="1"/>
        <v>-</v>
      </c>
    </row>
    <row r="24" spans="1:7" x14ac:dyDescent="0.25">
      <c r="A24" s="18">
        <v>21</v>
      </c>
      <c r="B24" s="4"/>
      <c r="C24" s="4"/>
      <c r="D24" s="4"/>
      <c r="E24" s="4"/>
      <c r="F24" s="4"/>
      <c r="G24" s="35" t="str">
        <f t="shared" si="1"/>
        <v>-</v>
      </c>
    </row>
    <row r="25" spans="1:7" x14ac:dyDescent="0.25">
      <c r="A25" s="18">
        <v>22</v>
      </c>
      <c r="B25" s="4"/>
      <c r="C25" s="4"/>
      <c r="D25" s="4"/>
      <c r="E25" s="4"/>
      <c r="F25" s="4"/>
      <c r="G25" s="35" t="str">
        <f t="shared" si="1"/>
        <v>-</v>
      </c>
    </row>
    <row r="26" spans="1:7" x14ac:dyDescent="0.25">
      <c r="A26" s="18">
        <v>23</v>
      </c>
      <c r="B26" s="4"/>
      <c r="C26" s="4"/>
      <c r="D26" s="4"/>
      <c r="E26" s="4"/>
      <c r="F26" s="4"/>
      <c r="G26" s="35" t="str">
        <f t="shared" si="1"/>
        <v>-</v>
      </c>
    </row>
    <row r="27" spans="1:7" x14ac:dyDescent="0.25">
      <c r="A27" s="18">
        <v>24</v>
      </c>
      <c r="B27" s="4"/>
      <c r="C27" s="4"/>
      <c r="D27" s="4"/>
      <c r="E27" s="4"/>
      <c r="F27" s="4"/>
      <c r="G27" s="35" t="str">
        <f t="shared" si="1"/>
        <v>-</v>
      </c>
    </row>
    <row r="28" spans="1:7" x14ac:dyDescent="0.25">
      <c r="A28" s="18">
        <v>25</v>
      </c>
      <c r="B28" s="4"/>
      <c r="C28" s="4"/>
      <c r="D28" s="4"/>
      <c r="E28" s="4"/>
      <c r="F28" s="4"/>
    </row>
    <row r="29" spans="1:7" x14ac:dyDescent="0.25">
      <c r="F29" s="36"/>
    </row>
    <row r="30" spans="1:7" x14ac:dyDescent="0.25">
      <c r="F30" s="36"/>
    </row>
    <row r="31" spans="1:7" x14ac:dyDescent="0.25">
      <c r="F31" t="s">
        <v>107</v>
      </c>
    </row>
  </sheetData>
  <mergeCells count="1">
    <mergeCell ref="A1:E1"/>
  </mergeCells>
  <dataValidations count="1">
    <dataValidation type="list" allowBlank="1" showInputMessage="1" showErrorMessage="1" sqref="E4:E17" xr:uid="{8534CFAA-8F49-4B4A-B016-CB3FC85D0F5A}">
      <formula1>$I$5:$I$6</formula1>
    </dataValidation>
  </dataValidations>
  <hyperlinks>
    <hyperlink ref="A1" location="'Objetos de dominio'!A1" display="&lt;&lt;&lt;&lt;&lt;&lt; Volver al inicio" xr:uid="{C899303E-46E0-40DF-B745-5E0822DA9DFE}"/>
    <hyperlink ref="F3" location="Agenda!A1" display="Agenda" xr:uid="{F351614B-B100-4FDB-95F2-ACC5F344CEE4}"/>
    <hyperlink ref="F4" location="Agenda!A4" display="Agenda!A4" xr:uid="{46B24180-1511-4011-9A4D-0CD4DC3AFCAD}"/>
    <hyperlink ref="F8" location="Agenda!A5" display="Agenda!A5" xr:uid="{3068A133-16D6-4EE4-8CAC-BD721CEA7A05}"/>
    <hyperlink ref="F11" location="Agenda!A6" display="Agenda!A6" xr:uid="{C0B39A38-FB78-4015-AE95-47AFAD219F5A}"/>
    <hyperlink ref="F14" location="Agenda!A7" display="Agenda!A7" xr:uid="{91C5990E-3F71-42B8-B84B-FFAB706A5CF2}"/>
    <hyperlink ref="F18" location="Agenda!A10" display="Agenda!A10" xr:uid="{B512ED51-E546-4844-A903-8D41FE3D1871}"/>
    <hyperlink ref="F19:F20" location="Agenda!A10" display="Agenda!A10" xr:uid="{28CC8C95-FDA5-49CC-9829-4C5E659D825F}"/>
    <hyperlink ref="F21" location="Agenda!A10" display="Agenda!A10" xr:uid="{0AC83AC0-F53E-4BA5-BDB9-43F89EF256BF}"/>
    <hyperlink ref="F15:F17" location="Agenda!A7" display="Agenda!A7" xr:uid="{D964D240-A79B-42C7-B793-B878A6CFDACD}"/>
    <hyperlink ref="F12:F13" location="Agenda!A6" display="Agenda!A6" xr:uid="{90D03B01-F707-4FBC-A858-14ABA329C17B}"/>
    <hyperlink ref="F9:F10" location="Agenda!A5" display="Agenda!A5" xr:uid="{4DC9A116-3A44-4026-925C-6E280A5638B1}"/>
    <hyperlink ref="F5:F7" location="Agenda!A4" display="Agenda!A4" xr:uid="{2DBD8F0F-0350-486A-BEAD-F3D268C2FF7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07DE-6D7F-46D5-A5A6-9AD6DF906ACB}">
  <dimension ref="A1:M13"/>
  <sheetViews>
    <sheetView tabSelected="1" workbookViewId="0">
      <selection activeCell="A6" sqref="A6"/>
    </sheetView>
  </sheetViews>
  <sheetFormatPr baseColWidth="10" defaultColWidth="11.5703125" defaultRowHeight="15" x14ac:dyDescent="0.25"/>
  <cols>
    <col min="1" max="1" width="13.28515625" customWidth="1"/>
    <col min="2" max="2" width="18" customWidth="1"/>
    <col min="3" max="6" width="21.7109375" customWidth="1"/>
    <col min="7" max="7" width="23.85546875" customWidth="1"/>
    <col min="8" max="8" width="23.5703125" customWidth="1"/>
    <col min="9" max="9" width="21.7109375" customWidth="1"/>
    <col min="10" max="10" width="50.5703125" customWidth="1"/>
    <col min="11" max="11" width="32" customWidth="1"/>
    <col min="12" max="12" width="19.42578125" customWidth="1"/>
    <col min="13" max="13" width="30" bestFit="1" customWidth="1"/>
  </cols>
  <sheetData>
    <row r="1" spans="1:13" x14ac:dyDescent="0.25">
      <c r="A1" s="40" t="s">
        <v>6</v>
      </c>
      <c r="B1" s="40"/>
      <c r="C1" s="40"/>
      <c r="D1" s="40"/>
      <c r="E1" s="5"/>
      <c r="F1" s="5"/>
      <c r="G1" s="5"/>
      <c r="H1" s="5"/>
      <c r="I1" s="5"/>
      <c r="J1" s="5"/>
    </row>
    <row r="2" spans="1:13" s="38" customFormat="1" ht="67.5" x14ac:dyDescent="0.25">
      <c r="A2" s="37" t="s">
        <v>28</v>
      </c>
      <c r="B2" s="37" t="s">
        <v>29</v>
      </c>
      <c r="C2" s="37" t="s">
        <v>30</v>
      </c>
      <c r="D2" s="37" t="s">
        <v>108</v>
      </c>
      <c r="E2" s="37" t="s">
        <v>91</v>
      </c>
      <c r="F2" s="37" t="s">
        <v>31</v>
      </c>
      <c r="G2" s="37" t="s">
        <v>32</v>
      </c>
      <c r="H2" s="37" t="s">
        <v>33</v>
      </c>
      <c r="I2" s="37" t="s">
        <v>92</v>
      </c>
      <c r="J2" s="37" t="s">
        <v>93</v>
      </c>
      <c r="K2" s="37" t="s">
        <v>109</v>
      </c>
      <c r="L2" s="37" t="s">
        <v>110</v>
      </c>
      <c r="M2" s="37" t="s">
        <v>111</v>
      </c>
    </row>
    <row r="3" spans="1:13" x14ac:dyDescent="0.25">
      <c r="A3" s="1" t="s">
        <v>11</v>
      </c>
      <c r="B3" s="1" t="s">
        <v>89</v>
      </c>
      <c r="C3" s="1" t="s">
        <v>90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116</v>
      </c>
      <c r="I3" s="1" t="s">
        <v>34</v>
      </c>
      <c r="J3" s="2" t="s">
        <v>35</v>
      </c>
      <c r="K3" s="6" t="s">
        <v>117</v>
      </c>
      <c r="L3" s="6" t="s">
        <v>118</v>
      </c>
      <c r="M3" s="6" t="s">
        <v>119</v>
      </c>
    </row>
    <row r="4" spans="1:13" x14ac:dyDescent="0.25">
      <c r="A4" s="7">
        <v>1</v>
      </c>
      <c r="B4" s="7" t="s">
        <v>36</v>
      </c>
      <c r="C4" s="21" t="s">
        <v>37</v>
      </c>
      <c r="D4" s="4" t="s">
        <v>38</v>
      </c>
      <c r="E4" s="22">
        <v>74564891</v>
      </c>
      <c r="F4" s="23">
        <v>36689</v>
      </c>
      <c r="G4" s="22">
        <v>3053456459</v>
      </c>
      <c r="H4" s="24" t="s">
        <v>39</v>
      </c>
      <c r="I4" s="22" t="s">
        <v>53</v>
      </c>
      <c r="J4" s="39" t="str">
        <f>[1]Inmueble!E4</f>
        <v>Apartamento</v>
      </c>
      <c r="K4" s="25" t="str">
        <f>_xlfn.CONCAT(D4,"-",E4)</f>
        <v>Cédula de Ciudadanía-74564891</v>
      </c>
      <c r="L4" s="25">
        <f>G4</f>
        <v>3053456459</v>
      </c>
      <c r="M4" s="25" t="str">
        <f>H4</f>
        <v>example@example.com</v>
      </c>
    </row>
    <row r="5" spans="1:13" x14ac:dyDescent="0.25">
      <c r="A5" s="7">
        <v>2</v>
      </c>
      <c r="B5" s="7" t="s">
        <v>40</v>
      </c>
      <c r="C5" s="21" t="s">
        <v>41</v>
      </c>
      <c r="D5" s="4" t="s">
        <v>54</v>
      </c>
      <c r="E5" s="22">
        <v>16513516</v>
      </c>
      <c r="F5" s="23">
        <v>38315</v>
      </c>
      <c r="G5" s="22">
        <v>3015124578</v>
      </c>
      <c r="H5" s="24" t="s">
        <v>42</v>
      </c>
      <c r="I5" s="22" t="s">
        <v>55</v>
      </c>
      <c r="J5" s="39" t="str">
        <f>[1]Inmueble!E5</f>
        <v>Apartamento</v>
      </c>
      <c r="K5" s="25" t="str">
        <f t="shared" ref="K5:K13" si="0">_xlfn.CONCAT(D5,"-",E5)</f>
        <v>Registro civil-16513516</v>
      </c>
      <c r="L5" s="25">
        <f t="shared" ref="L5:M13" si="1">G5</f>
        <v>3015124578</v>
      </c>
      <c r="M5" s="25" t="str">
        <f t="shared" si="1"/>
        <v xml:space="preserve">ejemplo@jueves.com </v>
      </c>
    </row>
    <row r="6" spans="1:13" x14ac:dyDescent="0.25">
      <c r="A6" s="7">
        <v>3</v>
      </c>
      <c r="B6" s="7" t="s">
        <v>43</v>
      </c>
      <c r="C6" s="21" t="s">
        <v>44</v>
      </c>
      <c r="D6" s="4" t="s">
        <v>56</v>
      </c>
      <c r="E6" s="22">
        <v>8552369</v>
      </c>
      <c r="F6" s="23">
        <v>35494</v>
      </c>
      <c r="G6" s="22">
        <v>3057477830</v>
      </c>
      <c r="H6" s="24" t="s">
        <v>45</v>
      </c>
      <c r="I6" s="22" t="s">
        <v>57</v>
      </c>
      <c r="J6" s="24" t="str">
        <f>[1]Inmueble!E6</f>
        <v>Casa</v>
      </c>
      <c r="K6" s="25" t="str">
        <f t="shared" si="0"/>
        <v>Pasaporte-8552369</v>
      </c>
      <c r="L6" s="25">
        <f t="shared" si="1"/>
        <v>3057477830</v>
      </c>
      <c r="M6" s="25" t="str">
        <f t="shared" si="1"/>
        <v>andresjobpk@gmail.com</v>
      </c>
    </row>
    <row r="7" spans="1:13" x14ac:dyDescent="0.25">
      <c r="A7" s="7">
        <v>4</v>
      </c>
      <c r="B7" s="4" t="s">
        <v>58</v>
      </c>
      <c r="C7" s="4" t="s">
        <v>59</v>
      </c>
      <c r="D7" s="4" t="s">
        <v>38</v>
      </c>
      <c r="E7" s="4">
        <v>1012345678</v>
      </c>
      <c r="F7" s="26">
        <v>32944</v>
      </c>
      <c r="G7" s="4">
        <v>3102345678</v>
      </c>
      <c r="H7" s="24" t="s">
        <v>60</v>
      </c>
      <c r="I7" s="4" t="s">
        <v>61</v>
      </c>
      <c r="J7" s="24" t="str">
        <f>[1]Inmueble!E7</f>
        <v>Casa</v>
      </c>
      <c r="K7" s="25" t="str">
        <f t="shared" si="0"/>
        <v>Cédula de Ciudadanía-1012345678</v>
      </c>
      <c r="L7" s="25">
        <f t="shared" si="1"/>
        <v>3102345678</v>
      </c>
      <c r="M7" s="25" t="str">
        <f t="shared" si="1"/>
        <v>alejandro.perez90@mail.com</v>
      </c>
    </row>
    <row r="8" spans="1:13" x14ac:dyDescent="0.25">
      <c r="A8" s="7">
        <v>5</v>
      </c>
      <c r="B8" s="4" t="s">
        <v>62</v>
      </c>
      <c r="C8" s="4" t="s">
        <v>63</v>
      </c>
      <c r="D8" s="4" t="s">
        <v>64</v>
      </c>
      <c r="E8" s="4">
        <v>1023456789</v>
      </c>
      <c r="F8" s="26">
        <v>31253</v>
      </c>
      <c r="G8" s="4">
        <v>3204567890</v>
      </c>
      <c r="H8" s="24" t="s">
        <v>65</v>
      </c>
      <c r="I8" s="4" t="s">
        <v>66</v>
      </c>
      <c r="J8" s="24" t="str">
        <f>[1]Inmueble!E8</f>
        <v>Apartamento</v>
      </c>
      <c r="K8" s="25" t="str">
        <f t="shared" si="0"/>
        <v>Cédula de extranjería-1023456789</v>
      </c>
      <c r="L8" s="25">
        <f t="shared" si="1"/>
        <v>3204567890</v>
      </c>
      <c r="M8" s="25" t="str">
        <f t="shared" si="1"/>
        <v>maria.gomez85@mail.com</v>
      </c>
    </row>
    <row r="9" spans="1:13" x14ac:dyDescent="0.25">
      <c r="A9" s="7">
        <v>6</v>
      </c>
      <c r="B9" s="4" t="s">
        <v>40</v>
      </c>
      <c r="C9" s="4" t="s">
        <v>67</v>
      </c>
      <c r="D9" s="4" t="s">
        <v>38</v>
      </c>
      <c r="E9" s="4">
        <v>1034567890</v>
      </c>
      <c r="F9" s="26">
        <v>35013</v>
      </c>
      <c r="G9" s="4">
        <v>3156781234</v>
      </c>
      <c r="H9" s="24" t="s">
        <v>68</v>
      </c>
      <c r="I9" s="4" t="s">
        <v>69</v>
      </c>
      <c r="J9" s="24" t="str">
        <f>[1]Inmueble!E9</f>
        <v>Casa</v>
      </c>
      <c r="K9" s="25" t="str">
        <f t="shared" si="0"/>
        <v>Cédula de Ciudadanía-1034567890</v>
      </c>
      <c r="L9" s="25">
        <f t="shared" si="1"/>
        <v>3156781234</v>
      </c>
      <c r="M9" s="25" t="str">
        <f t="shared" si="1"/>
        <v>juan.rodriguez95@mail.com</v>
      </c>
    </row>
    <row r="10" spans="1:13" x14ac:dyDescent="0.25">
      <c r="A10" s="7">
        <v>7</v>
      </c>
      <c r="B10" s="4" t="s">
        <v>70</v>
      </c>
      <c r="C10" s="4" t="s">
        <v>71</v>
      </c>
      <c r="D10" s="4" t="s">
        <v>46</v>
      </c>
      <c r="E10" s="4">
        <v>900123456</v>
      </c>
      <c r="F10" s="26">
        <v>36560</v>
      </c>
      <c r="G10" s="4">
        <v>3112345678</v>
      </c>
      <c r="H10" s="24" t="s">
        <v>72</v>
      </c>
      <c r="I10" s="4" t="s">
        <v>73</v>
      </c>
      <c r="J10" s="24" t="str">
        <f>[1]Inmueble!E10</f>
        <v>Apartamento</v>
      </c>
      <c r="K10" s="25" t="str">
        <f t="shared" si="0"/>
        <v>Tarjeta de Identidad-900123456</v>
      </c>
      <c r="L10" s="25">
        <f t="shared" si="1"/>
        <v>3112345678</v>
      </c>
      <c r="M10" s="25" t="str">
        <f t="shared" si="1"/>
        <v>camila.torres00@mail.com</v>
      </c>
    </row>
    <row r="11" spans="1:13" x14ac:dyDescent="0.25">
      <c r="A11" s="7">
        <v>8</v>
      </c>
      <c r="B11" s="4" t="s">
        <v>74</v>
      </c>
      <c r="C11" s="4" t="s">
        <v>75</v>
      </c>
      <c r="D11" s="4" t="s">
        <v>56</v>
      </c>
      <c r="E11" s="4">
        <v>1045678901</v>
      </c>
      <c r="F11" s="26">
        <v>33867</v>
      </c>
      <c r="G11" s="4">
        <v>3149876543</v>
      </c>
      <c r="H11" s="24" t="s">
        <v>76</v>
      </c>
      <c r="I11" s="4" t="s">
        <v>77</v>
      </c>
      <c r="J11" s="2" t="str">
        <f>[1]Inmueble!E11</f>
        <v>Casa</v>
      </c>
      <c r="K11" s="25" t="str">
        <f t="shared" si="0"/>
        <v>Pasaporte-1045678901</v>
      </c>
      <c r="L11" s="25">
        <f t="shared" si="1"/>
        <v>3149876543</v>
      </c>
      <c r="M11" s="25" t="str">
        <f t="shared" si="1"/>
        <v>andres.garcia92@mail.com</v>
      </c>
    </row>
    <row r="12" spans="1:13" x14ac:dyDescent="0.25">
      <c r="A12" s="7">
        <v>9</v>
      </c>
      <c r="B12" s="4" t="s">
        <v>78</v>
      </c>
      <c r="C12" s="4" t="s">
        <v>79</v>
      </c>
      <c r="D12" s="4" t="s">
        <v>38</v>
      </c>
      <c r="E12" s="4">
        <v>1056789012</v>
      </c>
      <c r="F12" s="26">
        <v>34128</v>
      </c>
      <c r="G12" s="4">
        <v>3135678901</v>
      </c>
      <c r="H12" s="24" t="s">
        <v>80</v>
      </c>
      <c r="I12" s="4" t="s">
        <v>81</v>
      </c>
      <c r="J12" s="2" t="str">
        <f>[1]Inmueble!E12</f>
        <v>Apartamento</v>
      </c>
      <c r="K12" s="25" t="str">
        <f t="shared" si="0"/>
        <v>Cédula de Ciudadanía-1056789012</v>
      </c>
      <c r="L12" s="25">
        <f t="shared" si="1"/>
        <v>3135678901</v>
      </c>
      <c r="M12" s="25" t="str">
        <f t="shared" si="1"/>
        <v>laura.martinez93@mail.com</v>
      </c>
    </row>
    <row r="13" spans="1:13" x14ac:dyDescent="0.25">
      <c r="A13" s="7">
        <v>10</v>
      </c>
      <c r="B13" s="4" t="s">
        <v>82</v>
      </c>
      <c r="C13" s="4" t="s">
        <v>83</v>
      </c>
      <c r="D13" s="4" t="s">
        <v>38</v>
      </c>
      <c r="E13" s="4">
        <v>1067890123</v>
      </c>
      <c r="F13" s="26">
        <v>32507</v>
      </c>
      <c r="G13" s="4">
        <v>3123456789</v>
      </c>
      <c r="H13" s="24" t="s">
        <v>84</v>
      </c>
      <c r="I13" s="4" t="s">
        <v>85</v>
      </c>
      <c r="J13" s="2" t="str">
        <f>[1]Inmueble!E13</f>
        <v>Casa</v>
      </c>
      <c r="K13" s="25" t="str">
        <f t="shared" si="0"/>
        <v>Cédula de Ciudadanía-1067890123</v>
      </c>
      <c r="L13" s="25">
        <f t="shared" si="1"/>
        <v>3123456789</v>
      </c>
      <c r="M13" s="25" t="str">
        <f t="shared" si="1"/>
        <v>felipe.ramirez88@mail.com</v>
      </c>
    </row>
  </sheetData>
  <mergeCells count="1">
    <mergeCell ref="A1:D1"/>
  </mergeCells>
  <dataValidations count="1">
    <dataValidation type="list" allowBlank="1" showInputMessage="1" showErrorMessage="1" sqref="D4:D10" xr:uid="{91149792-6B4C-49F0-8578-2641DC62D9FE}">
      <formula1>$A$21:$A$24</formula1>
    </dataValidation>
  </dataValidations>
  <hyperlinks>
    <hyperlink ref="A1" location="'Objetos de dominio'!A1" display="&lt;&lt;&lt;&lt;&lt;&lt; Volver al inicio" xr:uid="{D8CCCFA5-A14F-488E-AD2E-740EB2C27817}"/>
    <hyperlink ref="H4" r:id="rId1" xr:uid="{A19F4E66-8766-4591-BE35-5AD7FE2EEC93}"/>
    <hyperlink ref="H5" r:id="rId2" xr:uid="{F2F982F0-EBFF-418F-9F4F-3FF30AFC8712}"/>
    <hyperlink ref="H6" r:id="rId3" xr:uid="{550F66C3-854B-4044-AEBC-B3D50672C34F}"/>
    <hyperlink ref="J3" location="Inmueble!A1" display=" inmueble" xr:uid="{E8DD91DB-2BD0-4B7F-8DDA-48A46D50EE9B}"/>
    <hyperlink ref="J4" location="Inmueble!A4" display="Inmueble!A4" xr:uid="{EBC9955F-78A0-400F-98CA-1FCECF2C85E3}"/>
    <hyperlink ref="J5" location="Inmueble!A5" display="Inmueble!A5" xr:uid="{121C95BA-B893-405D-9ADA-5337FB17C0CD}"/>
    <hyperlink ref="J6" location="Inmueble!A6" display="Inmueble!A6" xr:uid="{F997A330-62B5-4EF6-A1EF-68270FA85BE4}"/>
    <hyperlink ref="J7" location="Inmueble!A7" display="Inmueble!A7" xr:uid="{AAF13589-8479-4A08-A2EF-E82ED3F46C9A}"/>
    <hyperlink ref="J8" location="Inmueble!A8" display="Inmueble!A8" xr:uid="{CF098DF9-37E2-4DB2-A7EF-148E94AB7719}"/>
    <hyperlink ref="J9" location="Inmueble!A9" display="Inmueble!A9" xr:uid="{72A8965C-5389-484E-9EC7-5EFC1D791CC1}"/>
    <hyperlink ref="J10" location="Inmueble!A10" display="Inmueble!A10" xr:uid="{BB44AB1B-9A63-40F4-B4F7-959DE86E9F11}"/>
    <hyperlink ref="J11" location="Inmueble!A11" display="Inmueble!A11" xr:uid="{F8E9E1FB-1044-4338-BCC0-D0CD7369EFCB}"/>
    <hyperlink ref="J12" location="Inmueble!A12" display="Inmueble!A12" xr:uid="{8BC00B39-98DD-4EB1-87A0-5EE3392447A9}"/>
    <hyperlink ref="J13" location="Inmueble!A13" display="Inmueble!A13" xr:uid="{AFE7760E-E4CE-4630-A70C-6AF68E99E1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Objetos de dominio</vt:lpstr>
      <vt:lpstr>Reserva</vt:lpstr>
      <vt:lpstr>Turno</vt:lpstr>
      <vt:lpstr>Residente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Felipe Velez Alcaraz</dc:creator>
  <cp:lastModifiedBy>Andres Felipe Velez Alcaraz</cp:lastModifiedBy>
  <dcterms:created xsi:type="dcterms:W3CDTF">2024-09-22T03:10:13Z</dcterms:created>
  <dcterms:modified xsi:type="dcterms:W3CDTF">2024-11-03T01:27:12Z</dcterms:modified>
</cp:coreProperties>
</file>