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josez\Documents\Universidad IngeSistemas\Diseño Orientado a Objetos(DOO)\VictusProyect\victus-doc\Doo-Doc\Nueva Version Victus\Modelo de dominio anémico\"/>
    </mc:Choice>
  </mc:AlternateContent>
  <xr:revisionPtr revIDLastSave="0" documentId="13_ncr:1_{28C3761F-3DAB-485F-9781-84D5F338B409}" xr6:coauthVersionLast="47" xr6:coauthVersionMax="47" xr10:uidLastSave="{00000000-0000-0000-0000-000000000000}"/>
  <bookViews>
    <workbookView xWindow="-108" yWindow="-108" windowWidth="23256" windowHeight="12456" firstSheet="3" activeTab="5" xr2:uid="{082AFB46-52C9-4E4C-AE4E-19443AA1B53B}"/>
  </bookViews>
  <sheets>
    <sheet name="Valores" sheetId="3" r:id="rId1"/>
    <sheet name="ContextMapping" sheetId="1" r:id="rId2"/>
    <sheet name="Contextos" sheetId="2" r:id="rId3"/>
    <sheet name="Conjuntos Residenciales" sheetId="4" r:id="rId4"/>
    <sheet name="Residentes" sheetId="5" r:id="rId5"/>
    <sheet name="Conjuntos.R Residentes-0001" sheetId="12" r:id="rId6"/>
    <sheet name="Agendas" sheetId="11" r:id="rId7"/>
    <sheet name="Turno Agenda-0001" sheetId="16" r:id="rId8"/>
    <sheet name="Agenda ConjuntosResidenciales-0" sheetId="13" r:id="rId9"/>
    <sheet name="Reservas" sheetId="6" r:id="rId10"/>
    <sheet name="Reserva-0001" sheetId="8" r:id="rId11"/>
    <sheet name="Reserva-0002" sheetId="10"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12" l="1"/>
  <c r="J7" i="12"/>
  <c r="J8" i="12"/>
  <c r="J9" i="12"/>
  <c r="J10" i="12"/>
  <c r="J11" i="12"/>
  <c r="J12" i="12"/>
  <c r="J13" i="12"/>
  <c r="J14" i="12"/>
  <c r="J5" i="12"/>
  <c r="J15" i="12"/>
  <c r="R15" i="12"/>
  <c r="J16" i="12"/>
  <c r="R16" i="12"/>
  <c r="J19" i="12"/>
  <c r="R19" i="12"/>
  <c r="J20" i="12"/>
  <c r="R20" i="12"/>
  <c r="J21" i="12"/>
  <c r="R21" i="12"/>
  <c r="J22" i="12"/>
  <c r="R22" i="12"/>
  <c r="J30" i="16" l="1"/>
  <c r="J29" i="16"/>
  <c r="J26" i="16"/>
  <c r="J27" i="16"/>
  <c r="J28" i="16"/>
  <c r="J25" i="16"/>
  <c r="J18" i="16"/>
  <c r="J19" i="16"/>
  <c r="J20" i="16"/>
  <c r="J21" i="16"/>
  <c r="J22" i="16"/>
  <c r="J17" i="16"/>
  <c r="J12" i="16" l="1"/>
  <c r="J13" i="16"/>
  <c r="J14" i="16"/>
  <c r="J15" i="16"/>
  <c r="J16" i="16"/>
  <c r="J11" i="16"/>
  <c r="J10" i="16"/>
  <c r="R30" i="16"/>
  <c r="R29" i="16"/>
  <c r="R28" i="16"/>
  <c r="R27" i="16"/>
  <c r="R26" i="16"/>
  <c r="R25" i="16"/>
  <c r="R22" i="16"/>
  <c r="R21" i="16"/>
  <c r="R20" i="16"/>
  <c r="R19" i="16"/>
  <c r="R18" i="16"/>
  <c r="R17" i="16"/>
  <c r="J6" i="16"/>
  <c r="J7" i="16"/>
  <c r="J8" i="16"/>
  <c r="J9" i="16"/>
  <c r="J5" i="16"/>
  <c r="J5" i="13"/>
  <c r="B1" i="16" l="1"/>
  <c r="J14" i="13"/>
  <c r="J15" i="13"/>
  <c r="J16" i="13"/>
  <c r="J13" i="13"/>
  <c r="R9" i="13" l="1"/>
  <c r="J9" i="13"/>
  <c r="R6" i="13" l="1"/>
  <c r="J26" i="12"/>
  <c r="J25" i="12"/>
  <c r="R22" i="8"/>
  <c r="R23" i="8"/>
  <c r="R24" i="8"/>
  <c r="R25" i="8"/>
  <c r="R21" i="8"/>
  <c r="R17" i="8"/>
  <c r="R18" i="8"/>
  <c r="R19" i="8"/>
  <c r="R16" i="8"/>
  <c r="R15" i="8"/>
  <c r="R6" i="8"/>
  <c r="R7" i="8"/>
  <c r="R8" i="8"/>
  <c r="R9" i="8"/>
  <c r="R10" i="8"/>
  <c r="R11" i="8"/>
  <c r="R12" i="8"/>
  <c r="R13" i="8"/>
  <c r="R14" i="8"/>
  <c r="R5" i="8"/>
  <c r="R5" i="13"/>
  <c r="J22" i="8"/>
  <c r="J23" i="8"/>
  <c r="J24" i="8"/>
  <c r="J25" i="8"/>
  <c r="J21" i="8"/>
  <c r="J6" i="8"/>
  <c r="J7" i="8"/>
  <c r="J8" i="8"/>
  <c r="J9" i="8"/>
  <c r="J10" i="8"/>
  <c r="J11" i="8"/>
  <c r="J12" i="8"/>
  <c r="J13" i="8"/>
  <c r="J14" i="8"/>
  <c r="J15" i="8"/>
  <c r="J5" i="8"/>
  <c r="S5" i="10" l="1"/>
  <c r="R10" i="10"/>
  <c r="R11" i="10"/>
  <c r="R9" i="10"/>
  <c r="R8" i="10"/>
  <c r="R6" i="10"/>
  <c r="R7" i="10"/>
  <c r="R5" i="10"/>
  <c r="J10" i="10"/>
  <c r="J11" i="10"/>
  <c r="J9" i="10"/>
  <c r="J5" i="10" l="1"/>
  <c r="J6" i="10"/>
  <c r="J7" i="10"/>
  <c r="J16" i="8" l="1"/>
  <c r="J17" i="8"/>
  <c r="J18" i="8"/>
  <c r="J19" i="8"/>
  <c r="R18" i="13" l="1"/>
  <c r="R17" i="13"/>
  <c r="R14" i="13"/>
  <c r="R15" i="13"/>
  <c r="R16" i="13"/>
  <c r="R13" i="13"/>
  <c r="R7" i="13"/>
  <c r="R8" i="13"/>
  <c r="R10" i="13"/>
  <c r="J8" i="13"/>
  <c r="D8" i="5" l="1"/>
  <c r="R28" i="12"/>
  <c r="R27" i="12"/>
  <c r="R26" i="12"/>
  <c r="R25" i="12"/>
  <c r="J18" i="13"/>
  <c r="J17" i="13"/>
  <c r="J6" i="13"/>
  <c r="J7" i="13"/>
  <c r="J10" i="13"/>
  <c r="B1" i="13"/>
  <c r="D8" i="11"/>
  <c r="J8" i="10"/>
  <c r="B1" i="8" l="1"/>
  <c r="J28" i="12"/>
  <c r="B1" i="12" l="1"/>
  <c r="J27" i="12"/>
  <c r="D9" i="6" l="1"/>
  <c r="D8" i="6"/>
  <c r="B3" i="11"/>
  <c r="B2" i="11"/>
  <c r="B1" i="11"/>
  <c r="E9" i="11"/>
  <c r="D9" i="11"/>
  <c r="E8" i="11"/>
  <c r="E10" i="4"/>
  <c r="D10" i="4"/>
  <c r="E8" i="6"/>
  <c r="E9" i="6"/>
  <c r="E8" i="5"/>
  <c r="E9" i="4"/>
  <c r="D9" i="4"/>
  <c r="D11" i="4"/>
  <c r="D8" i="4"/>
  <c r="E11" i="4"/>
  <c r="E8" i="4"/>
  <c r="B3" i="4"/>
  <c r="B2" i="4"/>
  <c r="B3" i="6" l="1"/>
  <c r="B2" i="6"/>
  <c r="B1" i="6"/>
  <c r="B3" i="5"/>
  <c r="B2" i="5"/>
  <c r="B1" i="5"/>
  <c r="B1" i="4"/>
  <c r="B1" i="10" l="1"/>
</calcChain>
</file>

<file path=xl/sharedStrings.xml><?xml version="1.0" encoding="utf-8"?>
<sst xmlns="http://schemas.openxmlformats.org/spreadsheetml/2006/main" count="659" uniqueCount="167">
  <si>
    <t>Problema/Dominio:</t>
  </si>
  <si>
    <t>Motivación/Descripción/Definición</t>
  </si>
  <si>
    <t>Contextos/Subdominios</t>
  </si>
  <si>
    <t>Tipo</t>
  </si>
  <si>
    <t>Nombre</t>
  </si>
  <si>
    <t>Usa/Necesita</t>
  </si>
  <si>
    <t>Core/Básico</t>
  </si>
  <si>
    <t>Genérico</t>
  </si>
  <si>
    <t>Auxiliar/Soporte</t>
  </si>
  <si>
    <t>VictusResidencias</t>
  </si>
  <si>
    <t>Problema cuya intención es resolver la problemática de reservas realizadas por un residente dentro de un conjunto residencial.</t>
  </si>
  <si>
    <t>Tipo Subdominio</t>
  </si>
  <si>
    <t>Son contextos que hacen parte del corazón o la razón de ser del negocio.</t>
  </si>
  <si>
    <t>Son contextos que hacen referencia a aspectos que ayudan a alcanzar los objetivos de los contextos CORE, pero realmente no son la razón principal del producto</t>
  </si>
  <si>
    <t>Son contextos que generalmente ya existen y que proporcionan aspectos comunes que pudieran ser utilizados, como por ejemplo, un servicio de mensajes, servicio de parámetros, servicio de notificaciones, servicios de pago, etcétera.</t>
  </si>
  <si>
    <t>Relaciones contextos</t>
  </si>
  <si>
    <t>Partnership</t>
  </si>
  <si>
    <t>Shared Kernel</t>
  </si>
  <si>
    <t>Customer/Supplier</t>
  </si>
  <si>
    <t>Comformist</t>
  </si>
  <si>
    <t>Anticorruption Layer (ACL)</t>
  </si>
  <si>
    <t>Open Host Service (OHS)</t>
  </si>
  <si>
    <t>Separate Ways</t>
  </si>
  <si>
    <t>Conjunto residencial</t>
  </si>
  <si>
    <t>Residente</t>
  </si>
  <si>
    <t>Reserva</t>
  </si>
  <si>
    <t>Contexto cuya intención enfocarse en la gestión del proceso de reservas de los recursos, incluyendo la disponibilidad de los recursos y las reservas que los residentes realizan.</t>
  </si>
  <si>
    <t>Contexto cuya motivación es encargarce de manejar la información de los residentes, incluidas sus identificaciones, contacto, y la relación entre el residente y su residencia dentro del conjunto.</t>
  </si>
  <si>
    <t>Contexto</t>
  </si>
  <si>
    <t>Descripción</t>
  </si>
  <si>
    <t>Relaciones</t>
  </si>
  <si>
    <t>Upstream</t>
  </si>
  <si>
    <t>Downstream</t>
  </si>
  <si>
    <t>Tipo relación</t>
  </si>
  <si>
    <t>¿Qué se requiere?</t>
  </si>
  <si>
    <t>Productor</t>
  </si>
  <si>
    <t>Consumidor</t>
  </si>
  <si>
    <t>Expone</t>
  </si>
  <si>
    <t>Cliente</t>
  </si>
  <si>
    <t>Identificador</t>
  </si>
  <si>
    <t>Conjunto Residencial</t>
  </si>
  <si>
    <t>ZonaComun</t>
  </si>
  <si>
    <t>Caracterización Origen</t>
  </si>
  <si>
    <t>Caracterización Destino</t>
  </si>
  <si>
    <t>Entidad Destino</t>
  </si>
  <si>
    <t>Entidad</t>
  </si>
  <si>
    <t>Atributo Origen</t>
  </si>
  <si>
    <t>Tipo de Dato</t>
  </si>
  <si>
    <t>Longitud mínima</t>
  </si>
  <si>
    <t>Longitud máxima</t>
  </si>
  <si>
    <t>Precisión</t>
  </si>
  <si>
    <t>Rango Inicial</t>
  </si>
  <si>
    <t>Rango Final</t>
  </si>
  <si>
    <t>Atributo Destino</t>
  </si>
  <si>
    <t>Requiere transformación</t>
  </si>
  <si>
    <t>identificador</t>
  </si>
  <si>
    <t>Alfanumérico</t>
  </si>
  <si>
    <t>nombre</t>
  </si>
  <si>
    <t>Texto</t>
  </si>
  <si>
    <t>No</t>
  </si>
  <si>
    <t>Conjuntos Residenciales</t>
  </si>
  <si>
    <t>ConjuntoResidencial</t>
  </si>
  <si>
    <t>conjuntoResidencial</t>
  </si>
  <si>
    <t>Reservas</t>
  </si>
  <si>
    <t>Agenda</t>
  </si>
  <si>
    <t>Turno</t>
  </si>
  <si>
    <t>Administrador</t>
  </si>
  <si>
    <t>Contexto cuya motivación es Gestionar la estructura física y los recursos disponibles en cada conjunto residencial. Aquí se manejan los datos sobre qué conjuntos existen, dónde están ubicados, qué recursos ofrecen según una Agenda con respectivos turnos para cada zona.</t>
  </si>
  <si>
    <t>Es un patrón de relación en el que dos subsistemas o equipos colaboran estrechamente, compartiendo objetivos y responsabilidades para lograr una integración efectiva.</t>
  </si>
  <si>
    <t>Un patrón de integración donde varios sistemas comparten una parte común de código o lógica central, que debe mantenerse sincronizada y estable para evitar conflictos.</t>
  </si>
  <si>
    <t>Un patrón donde un equipo (Customer) depende de otro (Supplier) para desarrollar una funcionalidad. El Supplier es responsable de satisfacer las necesidades del Customer, quien dicta los requerimientos.</t>
  </si>
  <si>
    <t>Un patrón en el que un sistema decide conformarse con el modelo de otro sistema, aceptando su formato y evitando modificar o traducir los datos para facilitar la integración.</t>
  </si>
  <si>
    <t>Una capa de software que actúa como intermediario entre dos sistemas, protegiendo uno de ellos de los efectos de un modelo de datos o lógica de negocio del otro, evitando la "corrupción" del modelo interno.</t>
  </si>
  <si>
    <t>Un patrón de integración que expone un conjunto de servicios abiertos que otros sistemas pueden utilizar, promoviendo la interoperabilidad y facilitando las interacciones entre diferentes sistemas.</t>
  </si>
  <si>
    <t>Un patrón en el que dos sistemas deciden no integrarse debido a diferencias significativas en su lógica de negocio o modelo de datos. Ambos funcionan de manera independiente sin compartir o sincronizar sus datos.</t>
  </si>
  <si>
    <t>Punto de comunicación en intercambio de información relacionadas con las zonas comunes donde pertenece a conjuntos residenciales.</t>
  </si>
  <si>
    <t>Punto de comunicación en intercambio de información relacionadas con saber de que conjunto residencial pertenecen los administradores.</t>
  </si>
  <si>
    <t>Momento donde se establese una peticion de información según que turno se escogio para la reserva.</t>
  </si>
  <si>
    <t>Punto de comunicación en intercambio de información para identificar cual es el residente que genera la reserva.</t>
  </si>
  <si>
    <t xml:space="preserve"> Conjuntos residenciales</t>
  </si>
  <si>
    <t>Residentes</t>
  </si>
  <si>
    <t>ZonaInmueble</t>
  </si>
  <si>
    <t>Inmueble</t>
  </si>
  <si>
    <t>Agendas</t>
  </si>
  <si>
    <t>Contexto cuya motivación es la de gestionar la estructura de la agenda que va a tener una zona común durante un un tiempo estimado y sus diferentes turnos.</t>
  </si>
  <si>
    <t>Punto de comunicación en intercambio de información relacionadas con las zonas de inmeubles donde pertenece a conjuntos residenciales.</t>
  </si>
  <si>
    <t>Punto de comunicación en intercambio de información relacionadas con los inmuebles donde pertenece a una zona inmueble</t>
  </si>
  <si>
    <t>Punto de comunicación en intercambio de información para identificar que el residente pertenece a un inmueble.</t>
  </si>
  <si>
    <t>Punto de comunicación en intercambio de información relacionadas con saber de que zona común pertenecen la agenda.</t>
  </si>
  <si>
    <t>Punto de comunicación en intercambio de información relacionadas con la Agenda donde pertenece los turnos.</t>
  </si>
  <si>
    <t>fechaHoraInicio</t>
  </si>
  <si>
    <t>tipoInmueble</t>
  </si>
  <si>
    <t>numeroVivienda</t>
  </si>
  <si>
    <t>Entero</t>
  </si>
  <si>
    <t>fechaHoraFin</t>
  </si>
  <si>
    <t>capacidadPersonas</t>
  </si>
  <si>
    <t>tiempoUso</t>
  </si>
  <si>
    <t>unidadTiempoUso</t>
  </si>
  <si>
    <t>TipoInmueble</t>
  </si>
  <si>
    <t>TipoZonaInmueble</t>
  </si>
  <si>
    <t>ConjutosResidenciales</t>
  </si>
  <si>
    <t>zonaInmueble</t>
  </si>
  <si>
    <t>tipoZonaInmueble</t>
  </si>
  <si>
    <t>ConjuntosResidenciales</t>
  </si>
  <si>
    <t>UnidadTiempoUso</t>
  </si>
  <si>
    <t>abreviatura</t>
  </si>
  <si>
    <t>enBase</t>
  </si>
  <si>
    <t>Logico</t>
  </si>
  <si>
    <t>descripcion</t>
  </si>
  <si>
    <t>zonaComun</t>
  </si>
  <si>
    <t>agenda</t>
  </si>
  <si>
    <t>TipoInmueble(Nombre)</t>
  </si>
  <si>
    <t>TipoZonaInmueble(Identificador)</t>
  </si>
  <si>
    <t>TipoZonaInmueble(Nombre)</t>
  </si>
  <si>
    <t>ZonaInmueble(NumeroZonaInmueble)</t>
  </si>
  <si>
    <t>inmueble</t>
  </si>
  <si>
    <t>entero</t>
  </si>
  <si>
    <t>numeroDocumento</t>
  </si>
  <si>
    <t>identificadorConjuntoResidencial</t>
  </si>
  <si>
    <t>nombreConjuntoResidencial</t>
  </si>
  <si>
    <t>identificadorUnidadTiempoUso</t>
  </si>
  <si>
    <t>nombreUnidadTiempoUso</t>
  </si>
  <si>
    <t>abreviaturaUnidadTiempoUso</t>
  </si>
  <si>
    <t>enBaseUnidadTiempoUso</t>
  </si>
  <si>
    <t>IdentificadorZonaComun</t>
  </si>
  <si>
    <t>nombreZonaComun</t>
  </si>
  <si>
    <t>capacidadPersonasZonaComun</t>
  </si>
  <si>
    <t>decripcionZonaComun</t>
  </si>
  <si>
    <t>tiempoUsoZonaComun</t>
  </si>
  <si>
    <t>numeroTurno</t>
  </si>
  <si>
    <t>horaInicio</t>
  </si>
  <si>
    <t>Fecha-Tiempo</t>
  </si>
  <si>
    <t>horaFin</t>
  </si>
  <si>
    <t>estado</t>
  </si>
  <si>
    <t>Lógico</t>
  </si>
  <si>
    <t>numeroZonaInmueble</t>
  </si>
  <si>
    <t>normas</t>
  </si>
  <si>
    <t>Alfanumerico</t>
  </si>
  <si>
    <t>Es un dato que hace que cada turno sea único.</t>
  </si>
  <si>
    <t>Este dato representa el nombre y número con el que se va a concoer el turno por defecto la palabra "Turno" y luego un numero consecutivo</t>
  </si>
  <si>
    <t>Es un dato que representa la hora de inicio del turno.</t>
  </si>
  <si>
    <t>Es un dato que representa la hora de finalización del turno.</t>
  </si>
  <si>
    <t>Este dato es de tipo logico el cual dice si esta disponible o no disponible un turno</t>
  </si>
  <si>
    <t>Este dato representa con que agenda está relacionada el turno.</t>
  </si>
  <si>
    <t>disponibilidad</t>
  </si>
  <si>
    <t>Es un dato que hace que cada agenda residencial sea único.</t>
  </si>
  <si>
    <t>Este es un dato tipo texto que representa el nombre de como se llama la agenda que se esta programando</t>
  </si>
  <si>
    <t>Este dato es un tipo logico que representa si esta disponible o no la agenda</t>
  </si>
  <si>
    <t>Este dato representa la fecha de hora de inicio en la cual empieza la agenda.</t>
  </si>
  <si>
    <t>Este dato representa la fecha de hora final en la cual finaliza una agenda.</t>
  </si>
  <si>
    <t>Es un dato que representa la zona común con la que está relacionada la agenda especifica.</t>
  </si>
  <si>
    <t>apellido</t>
  </si>
  <si>
    <t>tipoDocumento</t>
  </si>
  <si>
    <t>fechaNacimiento</t>
  </si>
  <si>
    <t>Fecha</t>
  </si>
  <si>
    <t>numeroContacto</t>
  </si>
  <si>
    <t>correoElectronico</t>
  </si>
  <si>
    <t>contraseña</t>
  </si>
  <si>
    <t>Es un dato que hace que cada residente sea único.</t>
  </si>
  <si>
    <t>Es un dato que representa el nombre del residente.</t>
  </si>
  <si>
    <t>Es un dato que representa el apellido de un residente</t>
  </si>
  <si>
    <t>este dato representa en forma textual , que tipo de documento tiene el residente como TI, CC, RC, PASS.</t>
  </si>
  <si>
    <t>Es un dato que representa el numero único del documento de un residente.</t>
  </si>
  <si>
    <t>Es un dato que representa la fecha de nacimiento que tiene un residente.</t>
  </si>
  <si>
    <t>Este dato representa el número de contacto de un residente.</t>
  </si>
  <si>
    <t>Este dato representa el correo electrónico de un residente</t>
  </si>
  <si>
    <t>este dato representa la contraseña con la que ingresa el residente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</si>
</sst>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theme="1"/>
      <name val="Aptos Narrow"/>
      <family val="2"/>
      <scheme val="minor"/>
    </font>
    <font>
      <u/>
      <sz val="11"/>
      <color theme="10"/>
      <name val="Aptos Narrow"/>
      <family val="2"/>
      <scheme val="minor"/>
    </font>
    <font>
      <b/>
      <sz val="11"/>
      <color theme="1"/>
      <name val="Arial"/>
      <family val="2"/>
    </font>
    <font>
      <sz val="11"/>
      <color theme="1"/>
      <name val="Arial"/>
      <family val="2"/>
    </font>
    <font>
      <b/>
      <sz val="11"/>
      <color rgb="FF000000"/>
      <name val="Aptos Narrow"/>
      <family val="2"/>
      <scheme val="minor"/>
    </font>
    <font>
      <u/>
      <sz val="11"/>
      <color theme="1"/>
      <name val="Aptos Narrow"/>
      <family val="2"/>
      <scheme val="minor"/>
    </font>
    <font>
      <sz val="10"/>
      <color theme="1"/>
      <name val="Aptos Narrow"/>
      <family val="2"/>
      <scheme val="minor"/>
    </font>
    <font>
      <sz val="10"/>
      <name val="Aptos Narrow"/>
      <family val="2"/>
      <scheme val="minor"/>
    </font>
  </fonts>
  <fills count="16">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0" tint="-4.9989318521683403E-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4" tint="0.39997558519241921"/>
        <bgColor indexed="64"/>
      </patternFill>
    </fill>
  </fills>
  <borders count="44">
    <border>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ck">
        <color indexed="64"/>
      </left>
      <right style="thick">
        <color indexed="64"/>
      </right>
      <top style="thick">
        <color indexed="64"/>
      </top>
      <bottom style="thick">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diagonal/>
    </border>
    <border>
      <left style="thick">
        <color indexed="64"/>
      </left>
      <right/>
      <top style="thick">
        <color indexed="64"/>
      </top>
      <bottom style="thick">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diagonal/>
    </border>
    <border>
      <left style="medium">
        <color indexed="64"/>
      </left>
      <right/>
      <top/>
      <bottom style="thick">
        <color indexed="64"/>
      </bottom>
      <diagonal/>
    </border>
    <border>
      <left style="thick">
        <color indexed="64"/>
      </left>
      <right style="thick">
        <color indexed="64"/>
      </right>
      <top/>
      <bottom style="thick">
        <color indexed="64"/>
      </bottom>
      <diagonal/>
    </border>
    <border>
      <left style="thick">
        <color indexed="64"/>
      </left>
      <right style="thick">
        <color indexed="64"/>
      </right>
      <top style="thick">
        <color indexed="64"/>
      </top>
      <bottom/>
      <diagonal/>
    </border>
    <border>
      <left style="thick">
        <color indexed="64"/>
      </left>
      <right style="thick">
        <color indexed="64"/>
      </right>
      <top/>
      <bottom/>
      <diagonal/>
    </border>
    <border>
      <left style="medium">
        <color indexed="64"/>
      </left>
      <right style="thick">
        <color indexed="64"/>
      </right>
      <top/>
      <bottom/>
      <diagonal/>
    </border>
    <border>
      <left style="medium">
        <color indexed="64"/>
      </left>
      <right style="thick">
        <color indexed="64"/>
      </right>
      <top/>
      <bottom style="thick">
        <color indexed="64"/>
      </bottom>
      <diagonal/>
    </border>
    <border>
      <left style="medium">
        <color indexed="64"/>
      </left>
      <right style="thick">
        <color indexed="64"/>
      </right>
      <top style="thick">
        <color indexed="64"/>
      </top>
      <bottom/>
      <diagonal/>
    </border>
    <border>
      <left/>
      <right style="thick">
        <color indexed="64"/>
      </right>
      <top/>
      <bottom style="thick">
        <color indexed="64"/>
      </bottom>
      <diagonal/>
    </border>
    <border>
      <left/>
      <right style="thick">
        <color indexed="64"/>
      </right>
      <top style="thick">
        <color indexed="64"/>
      </top>
      <bottom style="thick">
        <color indexed="64"/>
      </bottom>
      <diagonal/>
    </border>
    <border>
      <left style="medium">
        <color indexed="64"/>
      </left>
      <right style="medium">
        <color indexed="64"/>
      </right>
      <top/>
      <bottom style="thick">
        <color indexed="64"/>
      </bottom>
      <diagonal/>
    </border>
    <border>
      <left style="medium">
        <color indexed="64"/>
      </left>
      <right/>
      <top/>
      <bottom style="medium">
        <color indexed="64"/>
      </bottom>
      <diagonal/>
    </border>
    <border>
      <left style="thick">
        <color indexed="64"/>
      </left>
      <right style="medium">
        <color indexed="64"/>
      </right>
      <top/>
      <bottom/>
      <diagonal/>
    </border>
    <border>
      <left style="thick">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ck">
        <color indexed="64"/>
      </right>
      <top style="medium">
        <color indexed="64"/>
      </top>
      <bottom style="medium">
        <color indexed="64"/>
      </bottom>
      <diagonal/>
    </border>
    <border>
      <left style="thin">
        <color indexed="64"/>
      </left>
      <right/>
      <top style="thin">
        <color indexed="64"/>
      </top>
      <bottom/>
      <diagonal/>
    </border>
    <border>
      <left style="thick">
        <color indexed="64"/>
      </left>
      <right/>
      <top/>
      <bottom style="thick">
        <color indexed="64"/>
      </bottom>
      <diagonal/>
    </border>
    <border>
      <left style="medium">
        <color indexed="64"/>
      </left>
      <right/>
      <top style="medium">
        <color indexed="64"/>
      </top>
      <bottom/>
      <diagonal/>
    </border>
    <border>
      <left style="thick">
        <color indexed="64"/>
      </left>
      <right style="medium">
        <color indexed="64"/>
      </right>
      <top style="thin">
        <color indexed="64"/>
      </top>
      <bottom style="thick">
        <color indexed="64"/>
      </bottom>
      <diagonal/>
    </border>
    <border>
      <left style="thick">
        <color indexed="64"/>
      </left>
      <right style="medium">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21">
    <xf numFmtId="0" fontId="0" fillId="0" borderId="0" xfId="0"/>
    <xf numFmtId="0" fontId="3" fillId="2" borderId="1" xfId="0" applyFont="1" applyFill="1" applyBorder="1" applyAlignment="1">
      <alignment vertical="center"/>
    </xf>
    <xf numFmtId="0" fontId="4" fillId="0" borderId="0" xfId="0" applyFont="1" applyAlignment="1">
      <alignment vertical="center"/>
    </xf>
    <xf numFmtId="0" fontId="3" fillId="2" borderId="4" xfId="0" applyFont="1" applyFill="1" applyBorder="1" applyAlignment="1">
      <alignment vertical="center"/>
    </xf>
    <xf numFmtId="0" fontId="3" fillId="4" borderId="8" xfId="0"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wrapText="1"/>
    </xf>
    <xf numFmtId="0" fontId="4" fillId="0" borderId="0" xfId="0" applyFont="1" applyAlignment="1">
      <alignment vertical="center" wrapText="1"/>
    </xf>
    <xf numFmtId="0" fontId="4" fillId="3" borderId="8" xfId="0" applyFont="1" applyFill="1" applyBorder="1" applyAlignment="1">
      <alignment vertical="center"/>
    </xf>
    <xf numFmtId="0" fontId="4" fillId="3" borderId="10" xfId="0" applyFont="1" applyFill="1" applyBorder="1" applyAlignment="1">
      <alignment vertical="center" wrapText="1"/>
    </xf>
    <xf numFmtId="0" fontId="4" fillId="3" borderId="11" xfId="0" applyFont="1" applyFill="1" applyBorder="1" applyAlignment="1">
      <alignment vertical="center"/>
    </xf>
    <xf numFmtId="0" fontId="4" fillId="3" borderId="12" xfId="0" applyFont="1" applyFill="1" applyBorder="1" applyAlignment="1">
      <alignment vertical="center" wrapText="1"/>
    </xf>
    <xf numFmtId="0" fontId="1" fillId="2" borderId="1" xfId="0" applyFont="1" applyFill="1" applyBorder="1" applyAlignment="1">
      <alignment vertical="center"/>
    </xf>
    <xf numFmtId="0" fontId="0" fillId="0" borderId="0" xfId="0" applyAlignment="1">
      <alignment vertical="center"/>
    </xf>
    <xf numFmtId="0" fontId="1" fillId="2" borderId="8" xfId="0" applyFont="1" applyFill="1" applyBorder="1" applyAlignment="1">
      <alignment vertical="center"/>
    </xf>
    <xf numFmtId="0" fontId="1" fillId="6" borderId="8" xfId="0" applyFont="1" applyFill="1" applyBorder="1" applyAlignment="1">
      <alignment horizontal="center" vertical="center"/>
    </xf>
    <xf numFmtId="0" fontId="1" fillId="6" borderId="9" xfId="0" applyFont="1" applyFill="1" applyBorder="1" applyAlignment="1">
      <alignment horizontal="center" vertical="center"/>
    </xf>
    <xf numFmtId="0" fontId="1" fillId="6" borderId="9" xfId="0" applyFont="1" applyFill="1" applyBorder="1" applyAlignment="1">
      <alignment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2" fillId="7" borderId="9" xfId="1" applyFill="1" applyBorder="1" applyAlignment="1">
      <alignment vertical="center"/>
    </xf>
    <xf numFmtId="0" fontId="0" fillId="7" borderId="9" xfId="0" applyFill="1" applyBorder="1" applyAlignment="1">
      <alignment vertical="center"/>
    </xf>
    <xf numFmtId="0" fontId="0" fillId="7" borderId="10" xfId="0" applyFill="1" applyBorder="1" applyAlignment="1">
      <alignment vertical="center" wrapText="1"/>
    </xf>
    <xf numFmtId="0" fontId="0" fillId="3" borderId="8" xfId="0" applyFill="1" applyBorder="1" applyAlignment="1">
      <alignment horizontal="center" vertical="center"/>
    </xf>
    <xf numFmtId="0" fontId="0" fillId="3" borderId="9" xfId="0" applyFill="1" applyBorder="1" applyAlignment="1">
      <alignment horizontal="center" vertical="center"/>
    </xf>
    <xf numFmtId="0" fontId="0" fillId="3" borderId="10" xfId="0" applyFill="1" applyBorder="1" applyAlignment="1">
      <alignment vertical="center" wrapText="1"/>
    </xf>
    <xf numFmtId="0" fontId="0" fillId="0" borderId="0" xfId="0" applyAlignment="1">
      <alignment vertical="center" wrapText="1"/>
    </xf>
    <xf numFmtId="0" fontId="2" fillId="5" borderId="9" xfId="1" applyFill="1" applyBorder="1" applyAlignment="1">
      <alignment horizontal="center" vertical="center" wrapText="1"/>
    </xf>
    <xf numFmtId="0" fontId="2" fillId="6" borderId="9" xfId="1" applyFill="1" applyBorder="1" applyAlignment="1">
      <alignment horizontal="center" vertical="center" wrapText="1"/>
    </xf>
    <xf numFmtId="0" fontId="1" fillId="6" borderId="13" xfId="0" applyFont="1" applyFill="1" applyBorder="1" applyAlignment="1">
      <alignment horizontal="center" vertical="center"/>
    </xf>
    <xf numFmtId="0" fontId="1" fillId="6" borderId="14" xfId="0" applyFont="1" applyFill="1" applyBorder="1" applyAlignment="1">
      <alignment horizontal="center" vertical="center"/>
    </xf>
    <xf numFmtId="0" fontId="0" fillId="10" borderId="16" xfId="0" applyFill="1" applyBorder="1" applyAlignment="1">
      <alignment vertical="center"/>
    </xf>
    <xf numFmtId="0" fontId="0" fillId="9" borderId="16" xfId="0" applyFill="1" applyBorder="1" applyAlignment="1">
      <alignment vertical="center"/>
    </xf>
    <xf numFmtId="0" fontId="3" fillId="4" borderId="19" xfId="0" applyFont="1" applyFill="1" applyBorder="1" applyAlignment="1">
      <alignment vertical="center"/>
    </xf>
    <xf numFmtId="0" fontId="4" fillId="3" borderId="9" xfId="0" applyFont="1" applyFill="1" applyBorder="1" applyAlignment="1">
      <alignment vertical="center"/>
    </xf>
    <xf numFmtId="0" fontId="4" fillId="0" borderId="9" xfId="0" applyFont="1" applyBorder="1" applyAlignment="1">
      <alignment vertical="center" wrapText="1"/>
    </xf>
    <xf numFmtId="0" fontId="0" fillId="0" borderId="9" xfId="0" applyBorder="1" applyAlignment="1">
      <alignment wrapText="1"/>
    </xf>
    <xf numFmtId="0" fontId="2" fillId="7" borderId="9" xfId="1" applyFill="1" applyBorder="1" applyAlignment="1">
      <alignment horizontal="center" vertical="center"/>
    </xf>
    <xf numFmtId="0" fontId="0" fillId="7" borderId="9" xfId="0" applyFill="1" applyBorder="1" applyAlignment="1">
      <alignment horizontal="left" vertical="center"/>
    </xf>
    <xf numFmtId="0" fontId="0" fillId="3" borderId="9" xfId="0" applyFill="1" applyBorder="1" applyAlignment="1">
      <alignment horizontal="left" vertical="center"/>
    </xf>
    <xf numFmtId="0" fontId="0" fillId="10" borderId="20" xfId="0" applyFill="1" applyBorder="1" applyAlignment="1">
      <alignment vertical="center" wrapText="1"/>
    </xf>
    <xf numFmtId="0" fontId="0" fillId="9" borderId="20" xfId="0" applyFill="1" applyBorder="1" applyAlignment="1">
      <alignment vertical="center" wrapText="1"/>
    </xf>
    <xf numFmtId="0" fontId="2" fillId="6" borderId="9" xfId="1" applyFill="1" applyBorder="1" applyAlignment="1">
      <alignment horizontal="center" vertical="center"/>
    </xf>
    <xf numFmtId="0" fontId="0" fillId="11" borderId="8" xfId="0" applyFill="1" applyBorder="1" applyAlignment="1">
      <alignment horizontal="center" vertical="center"/>
    </xf>
    <xf numFmtId="0" fontId="0" fillId="11" borderId="9" xfId="0" applyFill="1" applyBorder="1" applyAlignment="1">
      <alignment horizontal="center" vertical="center"/>
    </xf>
    <xf numFmtId="0" fontId="2" fillId="11" borderId="9" xfId="1" applyFill="1" applyBorder="1" applyAlignment="1">
      <alignment horizontal="center" vertical="center"/>
    </xf>
    <xf numFmtId="0" fontId="0" fillId="11" borderId="9" xfId="0" applyFill="1" applyBorder="1" applyAlignment="1">
      <alignment horizontal="left" vertical="center"/>
    </xf>
    <xf numFmtId="0" fontId="0" fillId="11" borderId="10" xfId="0" applyFill="1" applyBorder="1" applyAlignment="1">
      <alignment vertical="center" wrapText="1"/>
    </xf>
    <xf numFmtId="0" fontId="2" fillId="11" borderId="9" xfId="1" applyFill="1" applyBorder="1" applyAlignment="1">
      <alignment vertical="center"/>
    </xf>
    <xf numFmtId="0" fontId="0" fillId="11" borderId="9" xfId="0" applyFill="1" applyBorder="1" applyAlignment="1">
      <alignment vertical="center"/>
    </xf>
    <xf numFmtId="0" fontId="0" fillId="10" borderId="25" xfId="0" applyFill="1" applyBorder="1" applyAlignment="1">
      <alignment vertical="center"/>
    </xf>
    <xf numFmtId="0" fontId="0" fillId="12" borderId="16" xfId="0" applyFill="1" applyBorder="1" applyAlignment="1">
      <alignment vertical="center"/>
    </xf>
    <xf numFmtId="0" fontId="0" fillId="12" borderId="20" xfId="0" applyFill="1" applyBorder="1" applyAlignment="1">
      <alignment vertical="center"/>
    </xf>
    <xf numFmtId="0" fontId="0" fillId="10" borderId="20" xfId="0" applyFill="1" applyBorder="1" applyAlignment="1">
      <alignment vertical="center"/>
    </xf>
    <xf numFmtId="0" fontId="0" fillId="9" borderId="20" xfId="0" applyFill="1" applyBorder="1" applyAlignment="1">
      <alignment vertical="center"/>
    </xf>
    <xf numFmtId="0" fontId="0" fillId="13" borderId="25" xfId="0" applyFill="1" applyBorder="1" applyAlignment="1">
      <alignment vertical="center"/>
    </xf>
    <xf numFmtId="0" fontId="0" fillId="13" borderId="16" xfId="0" applyFill="1" applyBorder="1" applyAlignment="1">
      <alignment vertical="center"/>
    </xf>
    <xf numFmtId="0" fontId="0" fillId="13" borderId="20" xfId="0" applyFill="1" applyBorder="1" applyAlignment="1">
      <alignment vertical="center"/>
    </xf>
    <xf numFmtId="0" fontId="0" fillId="12" borderId="32" xfId="0" applyFill="1" applyBorder="1" applyAlignment="1">
      <alignment vertical="center"/>
    </xf>
    <xf numFmtId="0" fontId="0" fillId="10" borderId="16" xfId="0" applyFill="1" applyBorder="1" applyAlignment="1">
      <alignment vertical="center" wrapText="1"/>
    </xf>
    <xf numFmtId="0" fontId="0" fillId="13" borderId="16" xfId="0" applyFill="1" applyBorder="1" applyAlignment="1">
      <alignment vertical="center" wrapText="1"/>
    </xf>
    <xf numFmtId="0" fontId="0" fillId="9" borderId="16" xfId="0" applyFill="1" applyBorder="1" applyAlignment="1">
      <alignment vertical="center" wrapText="1"/>
    </xf>
    <xf numFmtId="0" fontId="0" fillId="12" borderId="31" xfId="0" applyFill="1" applyBorder="1" applyAlignment="1">
      <alignment vertical="center"/>
    </xf>
    <xf numFmtId="0" fontId="0" fillId="10" borderId="25" xfId="0" applyFill="1" applyBorder="1" applyAlignment="1">
      <alignment vertical="center" wrapText="1"/>
    </xf>
    <xf numFmtId="0" fontId="0" fillId="5" borderId="25" xfId="0" applyFill="1" applyBorder="1" applyAlignment="1">
      <alignment vertical="center"/>
    </xf>
    <xf numFmtId="0" fontId="0" fillId="5" borderId="16" xfId="0" applyFill="1" applyBorder="1" applyAlignment="1">
      <alignment vertical="center"/>
    </xf>
    <xf numFmtId="0" fontId="0" fillId="5" borderId="20" xfId="0" applyFill="1" applyBorder="1" applyAlignment="1">
      <alignment vertical="center"/>
    </xf>
    <xf numFmtId="0" fontId="0" fillId="5" borderId="16" xfId="0" applyFill="1" applyBorder="1" applyAlignment="1">
      <alignment vertical="center" wrapText="1"/>
    </xf>
    <xf numFmtId="0" fontId="0" fillId="12" borderId="16" xfId="0" applyFill="1" applyBorder="1" applyAlignment="1">
      <alignment vertical="center" wrapText="1"/>
    </xf>
    <xf numFmtId="0" fontId="2" fillId="12" borderId="16" xfId="1" applyFill="1" applyBorder="1" applyAlignment="1">
      <alignment vertical="center"/>
    </xf>
    <xf numFmtId="0" fontId="6" fillId="0" borderId="0" xfId="0" applyFont="1" applyAlignment="1">
      <alignment vertical="center"/>
    </xf>
    <xf numFmtId="0" fontId="0" fillId="8" borderId="16" xfId="0" applyFill="1" applyBorder="1" applyAlignment="1">
      <alignment vertical="center"/>
    </xf>
    <xf numFmtId="0" fontId="0" fillId="8" borderId="20" xfId="0" applyFill="1" applyBorder="1" applyAlignment="1">
      <alignment vertical="center"/>
    </xf>
    <xf numFmtId="0" fontId="0" fillId="8" borderId="16" xfId="0" applyFill="1" applyBorder="1" applyAlignment="1">
      <alignment vertical="center" wrapText="1"/>
    </xf>
    <xf numFmtId="0" fontId="0" fillId="12" borderId="25" xfId="0" applyFill="1" applyBorder="1" applyAlignment="1">
      <alignment vertical="center"/>
    </xf>
    <xf numFmtId="0" fontId="2" fillId="10" borderId="16" xfId="1" applyFill="1" applyBorder="1" applyAlignment="1">
      <alignment vertical="center"/>
    </xf>
    <xf numFmtId="0" fontId="2" fillId="9" borderId="16" xfId="1" applyFill="1" applyBorder="1" applyAlignment="1">
      <alignment vertical="center"/>
    </xf>
    <xf numFmtId="0" fontId="3" fillId="4" borderId="1" xfId="0" applyFont="1" applyFill="1" applyBorder="1" applyAlignment="1">
      <alignment horizontal="center" vertical="center"/>
    </xf>
    <xf numFmtId="0" fontId="3" fillId="4" borderId="3" xfId="0" applyFont="1" applyFill="1" applyBorder="1" applyAlignment="1">
      <alignment horizontal="center" vertical="center"/>
    </xf>
    <xf numFmtId="0" fontId="0" fillId="6" borderId="14" xfId="0" applyFill="1" applyBorder="1" applyAlignment="1">
      <alignment horizontal="center" vertical="center"/>
    </xf>
    <xf numFmtId="0" fontId="0" fillId="6" borderId="17" xfId="0" applyFill="1" applyBorder="1" applyAlignment="1">
      <alignment horizontal="center" vertical="center"/>
    </xf>
    <xf numFmtId="0" fontId="0" fillId="6" borderId="18" xfId="0" applyFill="1" applyBorder="1" applyAlignment="1">
      <alignment horizontal="center" vertical="center"/>
    </xf>
    <xf numFmtId="0" fontId="2" fillId="6" borderId="14" xfId="1" applyFill="1" applyBorder="1" applyAlignment="1">
      <alignment horizontal="center" vertical="center"/>
    </xf>
    <xf numFmtId="0" fontId="2" fillId="6" borderId="17" xfId="1" applyFill="1" applyBorder="1" applyAlignment="1">
      <alignment horizontal="center" vertical="center"/>
    </xf>
    <xf numFmtId="0" fontId="2" fillId="6" borderId="18" xfId="1" applyFill="1" applyBorder="1" applyAlignment="1">
      <alignment horizontal="center" vertical="center"/>
    </xf>
    <xf numFmtId="0" fontId="0" fillId="6" borderId="14" xfId="0" applyFill="1" applyBorder="1" applyAlignment="1">
      <alignment horizontal="center" vertical="center" wrapText="1"/>
    </xf>
    <xf numFmtId="0" fontId="0" fillId="6" borderId="17" xfId="0" applyFill="1" applyBorder="1" applyAlignment="1">
      <alignment horizontal="center" vertical="center" wrapText="1"/>
    </xf>
    <xf numFmtId="0" fontId="0" fillId="6" borderId="18" xfId="0" applyFill="1" applyBorder="1" applyAlignment="1">
      <alignment horizontal="center" vertical="center" wrapText="1"/>
    </xf>
    <xf numFmtId="0" fontId="4" fillId="2" borderId="2" xfId="0" applyFont="1" applyFill="1" applyBorder="1" applyAlignment="1">
      <alignment horizontal="left" vertical="center"/>
    </xf>
    <xf numFmtId="0" fontId="4" fillId="2" borderId="3" xfId="0" applyFont="1" applyFill="1" applyBorder="1" applyAlignment="1">
      <alignment horizontal="left" vertical="center"/>
    </xf>
    <xf numFmtId="0" fontId="4" fillId="2" borderId="5" xfId="0" applyFont="1" applyFill="1" applyBorder="1" applyAlignment="1">
      <alignment horizontal="lef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3" fillId="3" borderId="8" xfId="0" applyFont="1" applyFill="1" applyBorder="1" applyAlignment="1">
      <alignment horizontal="center" vertical="center"/>
    </xf>
    <xf numFmtId="0" fontId="3" fillId="3" borderId="9" xfId="0" applyFont="1" applyFill="1" applyBorder="1" applyAlignment="1">
      <alignment horizontal="center" vertical="center"/>
    </xf>
    <xf numFmtId="0" fontId="3" fillId="3" borderId="10" xfId="0" applyFont="1" applyFill="1" applyBorder="1" applyAlignment="1">
      <alignment horizontal="center" vertical="center"/>
    </xf>
    <xf numFmtId="0" fontId="0" fillId="6" borderId="9" xfId="0" applyFill="1" applyBorder="1" applyAlignment="1">
      <alignment horizontal="center" vertical="center" wrapText="1"/>
    </xf>
    <xf numFmtId="0" fontId="2" fillId="6" borderId="9" xfId="1" applyFill="1" applyBorder="1" applyAlignment="1">
      <alignment horizontal="center" vertical="center" wrapText="1"/>
    </xf>
    <xf numFmtId="0" fontId="0" fillId="5" borderId="9" xfId="0" applyFill="1" applyBorder="1" applyAlignment="1">
      <alignment horizontal="center" vertical="center"/>
    </xf>
    <xf numFmtId="0" fontId="2" fillId="5" borderId="9" xfId="1" applyFill="1" applyBorder="1" applyAlignment="1">
      <alignment horizontal="center" vertical="center" wrapText="1"/>
    </xf>
    <xf numFmtId="0" fontId="0" fillId="5" borderId="9" xfId="0" applyFill="1" applyBorder="1" applyAlignment="1">
      <alignment horizontal="center" vertical="center" wrapText="1"/>
    </xf>
    <xf numFmtId="0" fontId="2" fillId="5" borderId="14" xfId="1" applyFill="1" applyBorder="1" applyAlignment="1">
      <alignment horizontal="center" vertical="center" wrapText="1"/>
    </xf>
    <xf numFmtId="0" fontId="2" fillId="5" borderId="17" xfId="1" applyFill="1" applyBorder="1" applyAlignment="1">
      <alignment horizontal="center" vertical="center" wrapText="1"/>
    </xf>
    <xf numFmtId="0" fontId="2" fillId="5" borderId="18" xfId="1" applyFill="1" applyBorder="1" applyAlignment="1">
      <alignment horizontal="center" vertical="center" wrapText="1"/>
    </xf>
    <xf numFmtId="0" fontId="0" fillId="5" borderId="14" xfId="0" applyFill="1" applyBorder="1" applyAlignment="1">
      <alignment horizontal="center" vertical="center" wrapText="1"/>
    </xf>
    <xf numFmtId="0" fontId="0" fillId="5" borderId="17" xfId="0" applyFill="1" applyBorder="1" applyAlignment="1">
      <alignment horizontal="center" vertical="center" wrapText="1"/>
    </xf>
    <xf numFmtId="0" fontId="0" fillId="5" borderId="18" xfId="0" applyFill="1" applyBorder="1" applyAlignment="1">
      <alignment horizontal="center" vertical="center" wrapText="1"/>
    </xf>
    <xf numFmtId="0" fontId="0" fillId="2" borderId="2" xfId="0" applyFill="1" applyBorder="1" applyAlignment="1">
      <alignment horizontal="left" vertical="center"/>
    </xf>
    <xf numFmtId="0" fontId="0" fillId="2" borderId="3" xfId="0" applyFill="1" applyBorder="1" applyAlignment="1">
      <alignment horizontal="left" vertical="center"/>
    </xf>
    <xf numFmtId="0" fontId="0" fillId="2" borderId="9" xfId="0" applyFill="1" applyBorder="1" applyAlignment="1">
      <alignment horizontal="left" vertical="center" wrapText="1"/>
    </xf>
    <xf numFmtId="0" fontId="0" fillId="2" borderId="10" xfId="0" applyFill="1" applyBorder="1" applyAlignment="1">
      <alignment horizontal="left" vertical="center" wrapText="1"/>
    </xf>
    <xf numFmtId="0" fontId="0" fillId="2" borderId="9" xfId="0" applyFill="1" applyBorder="1" applyAlignment="1">
      <alignment horizontal="left" vertical="center"/>
    </xf>
    <xf numFmtId="0" fontId="0" fillId="2" borderId="10" xfId="0" applyFill="1" applyBorder="1" applyAlignment="1">
      <alignment horizontal="left" vertical="center"/>
    </xf>
    <xf numFmtId="0" fontId="1" fillId="4" borderId="8" xfId="0" applyFont="1" applyFill="1" applyBorder="1" applyAlignment="1">
      <alignment horizontal="center" vertical="center"/>
    </xf>
    <xf numFmtId="0" fontId="1" fillId="4" borderId="9" xfId="0" applyFont="1" applyFill="1" applyBorder="1" applyAlignment="1">
      <alignment horizontal="center" vertical="center"/>
    </xf>
    <xf numFmtId="0" fontId="1" fillId="4" borderId="10" xfId="0" applyFont="1" applyFill="1" applyBorder="1" applyAlignment="1">
      <alignment horizontal="center" vertical="center"/>
    </xf>
    <xf numFmtId="0" fontId="1" fillId="6" borderId="9" xfId="0" applyFont="1" applyFill="1" applyBorder="1" applyAlignment="1">
      <alignment horizontal="center" vertical="center"/>
    </xf>
    <xf numFmtId="0" fontId="1" fillId="6" borderId="10" xfId="0" applyFont="1" applyFill="1" applyBorder="1" applyAlignment="1">
      <alignment horizontal="center" vertical="center"/>
    </xf>
    <xf numFmtId="0" fontId="0" fillId="3" borderId="35" xfId="0" applyFill="1" applyBorder="1" applyAlignment="1">
      <alignment horizontal="center" vertical="center"/>
    </xf>
    <xf numFmtId="0" fontId="0" fillId="3" borderId="36" xfId="0" applyFill="1" applyBorder="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1" fillId="4" borderId="14" xfId="0" applyFont="1" applyFill="1" applyBorder="1" applyAlignment="1">
      <alignment horizontal="center" vertical="center"/>
    </xf>
    <xf numFmtId="0" fontId="1" fillId="5" borderId="8" xfId="0" applyFont="1" applyFill="1" applyBorder="1" applyAlignment="1">
      <alignment horizontal="center" vertical="center"/>
    </xf>
    <xf numFmtId="0" fontId="1" fillId="5" borderId="9" xfId="0" applyFont="1" applyFill="1" applyBorder="1" applyAlignment="1">
      <alignment horizontal="center" vertical="center"/>
    </xf>
    <xf numFmtId="0" fontId="5" fillId="8" borderId="16" xfId="0" applyFont="1" applyFill="1" applyBorder="1" applyAlignment="1">
      <alignment horizontal="center" vertical="center" wrapText="1"/>
    </xf>
    <xf numFmtId="0" fontId="0" fillId="8" borderId="16" xfId="0" applyFill="1" applyBorder="1" applyAlignment="1">
      <alignment horizontal="center" vertical="center" wrapText="1"/>
    </xf>
    <xf numFmtId="0" fontId="0" fillId="9" borderId="32" xfId="0" applyFill="1" applyBorder="1" applyAlignment="1">
      <alignment horizontal="center" vertical="center"/>
    </xf>
    <xf numFmtId="0" fontId="0" fillId="5" borderId="30" xfId="0" applyFill="1" applyBorder="1" applyAlignment="1">
      <alignment horizontal="center" vertical="center" wrapText="1"/>
    </xf>
    <xf numFmtId="0" fontId="0" fillId="5" borderId="28" xfId="0" applyFill="1" applyBorder="1" applyAlignment="1">
      <alignment horizontal="center" vertical="center" wrapText="1"/>
    </xf>
    <xf numFmtId="0" fontId="0" fillId="13" borderId="30" xfId="0" applyFill="1" applyBorder="1" applyAlignment="1">
      <alignment horizontal="center" vertical="center" wrapText="1"/>
    </xf>
    <xf numFmtId="0" fontId="0" fillId="13" borderId="28" xfId="0" applyFill="1" applyBorder="1" applyAlignment="1">
      <alignment horizontal="center" vertical="center" wrapText="1"/>
    </xf>
    <xf numFmtId="0" fontId="0" fillId="13" borderId="29" xfId="0" applyFill="1" applyBorder="1" applyAlignment="1">
      <alignment horizontal="center" vertical="center" wrapText="1"/>
    </xf>
    <xf numFmtId="0" fontId="0" fillId="3" borderId="23" xfId="0" applyFill="1" applyBorder="1" applyAlignment="1">
      <alignment horizontal="center" vertical="center" wrapText="1"/>
    </xf>
    <xf numFmtId="0" fontId="0" fillId="3" borderId="34" xfId="0" applyFill="1" applyBorder="1" applyAlignment="1">
      <alignment horizontal="center" vertical="center" wrapText="1"/>
    </xf>
    <xf numFmtId="0" fontId="0" fillId="12" borderId="26" xfId="0" applyFill="1" applyBorder="1" applyAlignment="1">
      <alignment horizontal="center" vertical="center"/>
    </xf>
    <xf numFmtId="0" fontId="0" fillId="12" borderId="27" xfId="0" applyFill="1" applyBorder="1" applyAlignment="1">
      <alignment horizontal="center" vertical="center"/>
    </xf>
    <xf numFmtId="0" fontId="0" fillId="12" borderId="25" xfId="0" applyFill="1" applyBorder="1" applyAlignment="1">
      <alignment horizontal="center" vertical="center"/>
    </xf>
    <xf numFmtId="0" fontId="0" fillId="3" borderId="19"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0" fillId="3" borderId="16" xfId="0" applyFill="1" applyBorder="1" applyAlignment="1">
      <alignment horizontal="center" vertical="center"/>
    </xf>
    <xf numFmtId="0" fontId="0" fillId="12" borderId="30" xfId="0" applyFill="1" applyBorder="1" applyAlignment="1">
      <alignment horizontal="center" vertical="center"/>
    </xf>
    <xf numFmtId="0" fontId="0" fillId="12" borderId="28" xfId="0" applyFill="1" applyBorder="1" applyAlignment="1">
      <alignment horizontal="center" vertical="center"/>
    </xf>
    <xf numFmtId="0" fontId="0" fillId="12" borderId="29" xfId="0" applyFill="1" applyBorder="1" applyAlignment="1">
      <alignment horizontal="center" vertical="center"/>
    </xf>
    <xf numFmtId="0" fontId="0" fillId="8" borderId="30" xfId="0" applyFill="1" applyBorder="1" applyAlignment="1">
      <alignment horizontal="center" vertical="center"/>
    </xf>
    <xf numFmtId="0" fontId="0" fillId="8" borderId="28" xfId="0" applyFill="1" applyBorder="1" applyAlignment="1">
      <alignment horizontal="center" vertical="center"/>
    </xf>
    <xf numFmtId="0" fontId="0" fillId="8" borderId="29" xfId="0" applyFill="1" applyBorder="1" applyAlignment="1">
      <alignment horizontal="center" vertical="center"/>
    </xf>
    <xf numFmtId="0" fontId="5" fillId="8" borderId="9" xfId="0" applyFont="1" applyFill="1" applyBorder="1" applyAlignment="1">
      <alignment horizontal="center" vertical="center" wrapText="1"/>
    </xf>
    <xf numFmtId="0" fontId="0" fillId="8" borderId="14" xfId="0" applyFill="1" applyBorder="1" applyAlignment="1">
      <alignment horizontal="center" vertical="center" wrapText="1"/>
    </xf>
    <xf numFmtId="0" fontId="5" fillId="9" borderId="10" xfId="0" applyFont="1" applyFill="1" applyBorder="1" applyAlignment="1">
      <alignment horizontal="center" vertical="center"/>
    </xf>
    <xf numFmtId="0" fontId="0" fillId="9" borderId="15" xfId="0" applyFill="1" applyBorder="1" applyAlignment="1">
      <alignment horizontal="center" vertical="center"/>
    </xf>
    <xf numFmtId="0" fontId="0" fillId="3" borderId="21" xfId="0" applyFill="1" applyBorder="1" applyAlignment="1">
      <alignment horizontal="center" vertical="center"/>
    </xf>
    <xf numFmtId="0" fontId="0" fillId="3" borderId="22" xfId="0" applyFill="1" applyBorder="1" applyAlignment="1">
      <alignment horizontal="center" vertical="center"/>
    </xf>
    <xf numFmtId="0" fontId="0" fillId="9" borderId="16" xfId="0" applyFill="1" applyBorder="1" applyAlignment="1">
      <alignment horizontal="center" vertical="center"/>
    </xf>
    <xf numFmtId="0" fontId="0" fillId="8" borderId="9" xfId="0" applyFill="1" applyBorder="1" applyAlignment="1">
      <alignment horizontal="center" vertical="center" wrapText="1"/>
    </xf>
    <xf numFmtId="0" fontId="0" fillId="3" borderId="24" xfId="0" applyFill="1" applyBorder="1" applyAlignment="1">
      <alignment horizontal="center" vertical="center" wrapText="1"/>
    </xf>
    <xf numFmtId="0" fontId="0" fillId="10" borderId="16" xfId="0" applyFill="1" applyBorder="1" applyAlignment="1">
      <alignment horizontal="center" vertical="center" wrapText="1"/>
    </xf>
    <xf numFmtId="0" fontId="0" fillId="3" borderId="30" xfId="0" applyFill="1" applyBorder="1" applyAlignment="1">
      <alignment horizontal="center" vertical="center" wrapText="1"/>
    </xf>
    <xf numFmtId="0" fontId="0" fillId="3" borderId="28" xfId="0" applyFill="1" applyBorder="1" applyAlignment="1">
      <alignment horizontal="center" vertical="center" wrapText="1"/>
    </xf>
    <xf numFmtId="0" fontId="0" fillId="3" borderId="29" xfId="0" applyFill="1" applyBorder="1" applyAlignment="1">
      <alignment horizontal="center" vertical="center" wrapText="1"/>
    </xf>
    <xf numFmtId="0" fontId="0" fillId="3" borderId="19" xfId="0" applyFill="1" applyBorder="1" applyAlignment="1">
      <alignment horizontal="center" vertical="center"/>
    </xf>
    <xf numFmtId="0" fontId="0" fillId="3" borderId="33" xfId="0" applyFill="1" applyBorder="1" applyAlignment="1">
      <alignment horizontal="center" vertical="center"/>
    </xf>
    <xf numFmtId="0" fontId="0" fillId="9" borderId="26" xfId="0" applyFill="1" applyBorder="1" applyAlignment="1">
      <alignment horizontal="center" vertical="center"/>
    </xf>
    <xf numFmtId="0" fontId="0" fillId="9" borderId="27" xfId="0" applyFill="1" applyBorder="1" applyAlignment="1">
      <alignment horizontal="center" vertical="center"/>
    </xf>
    <xf numFmtId="0" fontId="0" fillId="9" borderId="25" xfId="0" applyFill="1" applyBorder="1" applyAlignment="1">
      <alignment horizontal="center" vertical="center"/>
    </xf>
    <xf numFmtId="0" fontId="0" fillId="10" borderId="26" xfId="0" applyFill="1" applyBorder="1" applyAlignment="1">
      <alignment horizontal="center" vertical="center"/>
    </xf>
    <xf numFmtId="0" fontId="0" fillId="10" borderId="27" xfId="0" applyFill="1" applyBorder="1" applyAlignment="1">
      <alignment horizontal="center" vertical="center"/>
    </xf>
    <xf numFmtId="0" fontId="0" fillId="10" borderId="25" xfId="0" applyFill="1" applyBorder="1" applyAlignment="1">
      <alignment horizontal="center" vertical="center"/>
    </xf>
    <xf numFmtId="0" fontId="0" fillId="6" borderId="37" xfId="0" applyFill="1" applyBorder="1" applyAlignment="1">
      <alignment vertical="center"/>
    </xf>
    <xf numFmtId="0" fontId="0" fillId="11" borderId="37" xfId="0" applyFill="1" applyBorder="1" applyAlignment="1">
      <alignment horizontal="center" vertical="center" wrapText="1"/>
    </xf>
    <xf numFmtId="0" fontId="0" fillId="12" borderId="37" xfId="0" applyFill="1" applyBorder="1" applyAlignment="1">
      <alignment horizontal="center" vertical="center"/>
    </xf>
    <xf numFmtId="0" fontId="7" fillId="12" borderId="37" xfId="0" applyFont="1" applyFill="1" applyBorder="1" applyAlignment="1">
      <alignment vertical="center"/>
    </xf>
    <xf numFmtId="0" fontId="0" fillId="12" borderId="37" xfId="0" applyFill="1" applyBorder="1" applyAlignment="1">
      <alignment vertical="center"/>
    </xf>
    <xf numFmtId="0" fontId="0" fillId="12" borderId="37" xfId="0" applyFill="1" applyBorder="1" applyAlignment="1">
      <alignment vertical="center" wrapText="1"/>
    </xf>
    <xf numFmtId="0" fontId="0" fillId="3" borderId="38" xfId="0" applyFill="1" applyBorder="1" applyAlignment="1">
      <alignment horizontal="center" vertical="center"/>
    </xf>
    <xf numFmtId="0" fontId="8" fillId="12" borderId="37" xfId="0" applyFont="1" applyFill="1" applyBorder="1" applyAlignment="1">
      <alignment vertical="center"/>
    </xf>
    <xf numFmtId="0" fontId="0" fillId="12" borderId="37" xfId="0" applyFill="1" applyBorder="1"/>
    <xf numFmtId="0" fontId="2" fillId="12" borderId="37" xfId="1" applyFill="1" applyBorder="1" applyAlignment="1">
      <alignment vertical="center"/>
    </xf>
    <xf numFmtId="0" fontId="0" fillId="6" borderId="37" xfId="0" applyFill="1" applyBorder="1" applyAlignment="1">
      <alignment horizontal="center" vertical="center"/>
    </xf>
    <xf numFmtId="0" fontId="0" fillId="6" borderId="37" xfId="0" applyFill="1" applyBorder="1" applyAlignment="1">
      <alignment vertical="center" wrapText="1"/>
    </xf>
    <xf numFmtId="0" fontId="0" fillId="14" borderId="37" xfId="0" applyFill="1" applyBorder="1" applyAlignment="1">
      <alignment horizontal="center" vertical="center"/>
    </xf>
    <xf numFmtId="0" fontId="0" fillId="14" borderId="37" xfId="0" applyFill="1" applyBorder="1" applyAlignment="1">
      <alignment vertical="center"/>
    </xf>
    <xf numFmtId="0" fontId="0" fillId="14" borderId="37" xfId="0" applyFill="1" applyBorder="1" applyAlignment="1">
      <alignment vertical="center" wrapText="1"/>
    </xf>
    <xf numFmtId="0" fontId="2" fillId="14" borderId="37" xfId="1" applyFill="1" applyBorder="1" applyAlignment="1">
      <alignment vertical="center"/>
    </xf>
    <xf numFmtId="0" fontId="0" fillId="5" borderId="37" xfId="0" applyFill="1" applyBorder="1" applyAlignment="1">
      <alignment horizontal="center" vertical="center"/>
    </xf>
    <xf numFmtId="0" fontId="0" fillId="5" borderId="37" xfId="0" applyFill="1" applyBorder="1" applyAlignment="1">
      <alignment vertical="center"/>
    </xf>
    <xf numFmtId="0" fontId="0" fillId="5" borderId="37" xfId="0" applyFill="1" applyBorder="1" applyAlignment="1">
      <alignment vertical="center" wrapText="1"/>
    </xf>
    <xf numFmtId="0" fontId="0" fillId="15" borderId="37" xfId="0" applyFill="1" applyBorder="1" applyAlignment="1">
      <alignment horizontal="center" vertical="center"/>
    </xf>
    <xf numFmtId="0" fontId="0" fillId="15" borderId="37" xfId="0" applyFill="1" applyBorder="1" applyAlignment="1">
      <alignment vertical="center"/>
    </xf>
    <xf numFmtId="0" fontId="0" fillId="15" borderId="37" xfId="0" applyFill="1" applyBorder="1" applyAlignment="1">
      <alignment vertical="center" wrapText="1"/>
    </xf>
    <xf numFmtId="0" fontId="0" fillId="6" borderId="37" xfId="0" applyFont="1" applyFill="1" applyBorder="1" applyAlignment="1">
      <alignment vertical="center"/>
    </xf>
    <xf numFmtId="0" fontId="2" fillId="6" borderId="37" xfId="1" applyFill="1" applyBorder="1" applyAlignment="1">
      <alignment vertical="center"/>
    </xf>
    <xf numFmtId="0" fontId="0" fillId="10" borderId="30" xfId="0" applyFill="1" applyBorder="1" applyAlignment="1">
      <alignment horizontal="center" vertical="center" wrapText="1"/>
    </xf>
    <xf numFmtId="0" fontId="0" fillId="10" borderId="29" xfId="0" applyFill="1" applyBorder="1" applyAlignment="1">
      <alignment horizontal="center" vertical="center" wrapText="1"/>
    </xf>
    <xf numFmtId="0" fontId="1" fillId="5" borderId="13" xfId="0" applyFont="1" applyFill="1" applyBorder="1" applyAlignment="1">
      <alignment horizontal="center" vertical="center"/>
    </xf>
    <xf numFmtId="0" fontId="1" fillId="5" borderId="14" xfId="0" applyFont="1" applyFill="1" applyBorder="1" applyAlignment="1">
      <alignment horizontal="center" vertical="center"/>
    </xf>
    <xf numFmtId="0" fontId="1" fillId="5" borderId="39" xfId="0" applyFont="1" applyFill="1" applyBorder="1" applyAlignment="1">
      <alignment horizontal="center" vertical="center"/>
    </xf>
    <xf numFmtId="0" fontId="0" fillId="12" borderId="40" xfId="0" applyFill="1" applyBorder="1" applyAlignment="1">
      <alignment vertical="center"/>
    </xf>
    <xf numFmtId="0" fontId="1" fillId="6" borderId="37" xfId="0" applyFont="1" applyFill="1" applyBorder="1" applyAlignment="1">
      <alignment horizontal="center" vertical="center"/>
    </xf>
    <xf numFmtId="0" fontId="1" fillId="6" borderId="38" xfId="0" applyFont="1" applyFill="1" applyBorder="1" applyAlignment="1">
      <alignment horizontal="center" vertical="center"/>
    </xf>
    <xf numFmtId="0" fontId="0" fillId="3" borderId="41" xfId="0" applyFill="1" applyBorder="1" applyAlignment="1">
      <alignment horizontal="center" vertical="center" wrapText="1"/>
    </xf>
    <xf numFmtId="0" fontId="0" fillId="12" borderId="25" xfId="0" applyFill="1" applyBorder="1" applyAlignment="1">
      <alignment horizontal="left" vertical="center"/>
    </xf>
    <xf numFmtId="0" fontId="0" fillId="12" borderId="16" xfId="0" applyFill="1" applyBorder="1" applyAlignment="1">
      <alignment horizontal="left" vertical="center"/>
    </xf>
    <xf numFmtId="0" fontId="2" fillId="12" borderId="16" xfId="1" applyFill="1" applyBorder="1" applyAlignment="1">
      <alignment horizontal="left" vertical="center"/>
    </xf>
    <xf numFmtId="0" fontId="0" fillId="10" borderId="16" xfId="0" applyFill="1" applyBorder="1" applyAlignment="1">
      <alignment horizontal="left" vertical="center"/>
    </xf>
    <xf numFmtId="0" fontId="0" fillId="13" borderId="16" xfId="0" applyFill="1" applyBorder="1" applyAlignment="1">
      <alignment horizontal="left" vertical="center"/>
    </xf>
    <xf numFmtId="0" fontId="2" fillId="13" borderId="16" xfId="1" applyFill="1" applyBorder="1" applyAlignment="1">
      <alignment horizontal="left" vertical="center"/>
    </xf>
    <xf numFmtId="0" fontId="0" fillId="5" borderId="16" xfId="0" applyFill="1" applyBorder="1" applyAlignment="1">
      <alignment horizontal="left" vertical="center"/>
    </xf>
    <xf numFmtId="0" fontId="0" fillId="9" borderId="16" xfId="0" applyFill="1" applyBorder="1" applyAlignment="1">
      <alignment horizontal="left" vertical="center"/>
    </xf>
    <xf numFmtId="0" fontId="0" fillId="4" borderId="19" xfId="0" applyFont="1" applyFill="1" applyBorder="1" applyAlignment="1">
      <alignment horizontal="center" vertical="center"/>
    </xf>
    <xf numFmtId="0" fontId="0" fillId="4" borderId="37" xfId="0" applyFont="1" applyFill="1" applyBorder="1" applyAlignment="1">
      <alignment horizontal="center" vertical="center"/>
    </xf>
    <xf numFmtId="0" fontId="0" fillId="4" borderId="37" xfId="0" applyFont="1" applyFill="1" applyBorder="1" applyAlignment="1">
      <alignment horizontal="left" vertical="center"/>
    </xf>
    <xf numFmtId="0" fontId="1" fillId="4" borderId="37" xfId="0" applyFont="1" applyFill="1" applyBorder="1" applyAlignment="1">
      <alignment horizontal="center" vertical="center"/>
    </xf>
    <xf numFmtId="0" fontId="1" fillId="4" borderId="38" xfId="0" applyFont="1" applyFill="1" applyBorder="1" applyAlignment="1">
      <alignment horizontal="center" vertical="center"/>
    </xf>
    <xf numFmtId="0" fontId="0" fillId="4" borderId="16" xfId="0" applyFill="1" applyBorder="1" applyAlignment="1">
      <alignment horizontal="center" vertical="center" wrapText="1"/>
    </xf>
    <xf numFmtId="0" fontId="1" fillId="4" borderId="21" xfId="0" applyFont="1" applyFill="1" applyBorder="1" applyAlignment="1">
      <alignment horizontal="center" vertical="center"/>
    </xf>
    <xf numFmtId="0" fontId="1" fillId="4" borderId="22" xfId="0" applyFont="1" applyFill="1" applyBorder="1" applyAlignment="1">
      <alignment horizontal="center" vertical="center"/>
    </xf>
    <xf numFmtId="0" fontId="2" fillId="4" borderId="37" xfId="1" applyFill="1" applyBorder="1" applyAlignment="1">
      <alignment horizontal="left" vertical="center"/>
    </xf>
    <xf numFmtId="0" fontId="5" fillId="9" borderId="43" xfId="0" applyFont="1" applyFill="1" applyBorder="1" applyAlignment="1">
      <alignment horizontal="center" vertical="center"/>
    </xf>
    <xf numFmtId="0" fontId="0" fillId="9" borderId="42" xfId="0" applyFill="1" applyBorder="1" applyAlignment="1">
      <alignment horizontal="center" vertical="center"/>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76200</xdr:colOff>
      <xdr:row>0</xdr:row>
      <xdr:rowOff>95250</xdr:rowOff>
    </xdr:from>
    <xdr:to>
      <xdr:col>9</xdr:col>
      <xdr:colOff>343894</xdr:colOff>
      <xdr:row>27</xdr:row>
      <xdr:rowOff>29284</xdr:rowOff>
    </xdr:to>
    <xdr:pic>
      <xdr:nvPicPr>
        <xdr:cNvPr id="4" name="Imagen 3">
          <a:extLst>
            <a:ext uri="{FF2B5EF4-FFF2-40B4-BE49-F238E27FC236}">
              <a16:creationId xmlns:a16="http://schemas.microsoft.com/office/drawing/2014/main" id="{FA9D2E82-FF5A-357B-B457-4B26C11893C4}"/>
            </a:ext>
          </a:extLst>
        </xdr:cNvPr>
        <xdr:cNvPicPr>
          <a:picLocks noChangeAspect="1"/>
        </xdr:cNvPicPr>
      </xdr:nvPicPr>
      <xdr:blipFill>
        <a:blip xmlns:r="http://schemas.openxmlformats.org/officeDocument/2006/relationships" r:embed="rId1"/>
        <a:stretch>
          <a:fillRect/>
        </a:stretch>
      </xdr:blipFill>
      <xdr:spPr>
        <a:xfrm>
          <a:off x="76200" y="95250"/>
          <a:ext cx="7125694" cy="5077534"/>
        </a:xfrm>
        <a:prstGeom prst="rect">
          <a:avLst/>
        </a:prstGeom>
      </xdr:spPr>
    </xdr:pic>
    <xdr:clientData/>
  </xdr:twoCellAnchor>
  <xdr:twoCellAnchor editAs="oneCell">
    <xdr:from>
      <xdr:col>0</xdr:col>
      <xdr:colOff>10886</xdr:colOff>
      <xdr:row>0</xdr:row>
      <xdr:rowOff>0</xdr:rowOff>
    </xdr:from>
    <xdr:to>
      <xdr:col>12</xdr:col>
      <xdr:colOff>106119</xdr:colOff>
      <xdr:row>30</xdr:row>
      <xdr:rowOff>106926</xdr:rowOff>
    </xdr:to>
    <xdr:pic>
      <xdr:nvPicPr>
        <xdr:cNvPr id="2" name="Imagen 1">
          <a:extLst>
            <a:ext uri="{FF2B5EF4-FFF2-40B4-BE49-F238E27FC236}">
              <a16:creationId xmlns:a16="http://schemas.microsoft.com/office/drawing/2014/main" id="{A36EFD4D-C4E8-F7BE-082B-841D7718F08F}"/>
            </a:ext>
          </a:extLst>
        </xdr:cNvPr>
        <xdr:cNvPicPr>
          <a:picLocks noChangeAspect="1"/>
        </xdr:cNvPicPr>
      </xdr:nvPicPr>
      <xdr:blipFill>
        <a:blip xmlns:r="http://schemas.openxmlformats.org/officeDocument/2006/relationships" r:embed="rId2"/>
        <a:stretch>
          <a:fillRect/>
        </a:stretch>
      </xdr:blipFill>
      <xdr:spPr>
        <a:xfrm>
          <a:off x="10886" y="0"/>
          <a:ext cx="9631119" cy="5658640"/>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E5666-F6A5-49FF-B12A-1FE829F0A68B}">
  <dimension ref="A1:B13"/>
  <sheetViews>
    <sheetView zoomScale="79" zoomScaleNormal="79" workbookViewId="0">
      <selection activeCell="B10" sqref="B10"/>
    </sheetView>
  </sheetViews>
  <sheetFormatPr baseColWidth="10" defaultColWidth="11.44140625" defaultRowHeight="13.8" x14ac:dyDescent="0.3"/>
  <cols>
    <col min="1" max="1" width="26" style="2" bestFit="1" customWidth="1"/>
    <col min="2" max="2" width="79.6640625" style="2" bestFit="1" customWidth="1"/>
    <col min="3" max="16384" width="11.44140625" style="2"/>
  </cols>
  <sheetData>
    <row r="1" spans="1:2" x14ac:dyDescent="0.3">
      <c r="A1" s="77" t="s">
        <v>11</v>
      </c>
      <c r="B1" s="78"/>
    </row>
    <row r="2" spans="1:2" x14ac:dyDescent="0.3">
      <c r="A2" s="8" t="s">
        <v>6</v>
      </c>
      <c r="B2" s="9" t="s">
        <v>12</v>
      </c>
    </row>
    <row r="3" spans="1:2" ht="27.6" x14ac:dyDescent="0.3">
      <c r="A3" s="8" t="s">
        <v>8</v>
      </c>
      <c r="B3" s="9" t="s">
        <v>13</v>
      </c>
    </row>
    <row r="4" spans="1:2" ht="42" thickBot="1" x14ac:dyDescent="0.35">
      <c r="A4" s="10" t="s">
        <v>7</v>
      </c>
      <c r="B4" s="11" t="s">
        <v>14</v>
      </c>
    </row>
    <row r="5" spans="1:2" ht="14.4" thickBot="1" x14ac:dyDescent="0.35"/>
    <row r="6" spans="1:2" x14ac:dyDescent="0.3">
      <c r="A6" s="33" t="s">
        <v>15</v>
      </c>
    </row>
    <row r="7" spans="1:2" ht="42.75" customHeight="1" x14ac:dyDescent="0.3">
      <c r="A7" s="34" t="s">
        <v>16</v>
      </c>
      <c r="B7" s="35" t="s">
        <v>68</v>
      </c>
    </row>
    <row r="8" spans="1:2" ht="42.75" customHeight="1" x14ac:dyDescent="0.3">
      <c r="A8" s="34" t="s">
        <v>17</v>
      </c>
      <c r="B8" s="35" t="s">
        <v>69</v>
      </c>
    </row>
    <row r="9" spans="1:2" ht="42.75" customHeight="1" x14ac:dyDescent="0.3">
      <c r="A9" s="34" t="s">
        <v>18</v>
      </c>
      <c r="B9" s="36" t="s">
        <v>70</v>
      </c>
    </row>
    <row r="10" spans="1:2" ht="42.75" customHeight="1" x14ac:dyDescent="0.3">
      <c r="A10" s="34" t="s">
        <v>19</v>
      </c>
      <c r="B10" s="35" t="s">
        <v>71</v>
      </c>
    </row>
    <row r="11" spans="1:2" ht="42.75" customHeight="1" x14ac:dyDescent="0.3">
      <c r="A11" s="34" t="s">
        <v>20</v>
      </c>
      <c r="B11" s="35" t="s">
        <v>72</v>
      </c>
    </row>
    <row r="12" spans="1:2" ht="42.75" customHeight="1" x14ac:dyDescent="0.3">
      <c r="A12" s="34" t="s">
        <v>21</v>
      </c>
      <c r="B12" s="35" t="s">
        <v>73</v>
      </c>
    </row>
    <row r="13" spans="1:2" ht="42.75" customHeight="1" x14ac:dyDescent="0.3">
      <c r="A13" s="34" t="s">
        <v>22</v>
      </c>
      <c r="B13" s="35" t="s">
        <v>74</v>
      </c>
    </row>
  </sheetData>
  <mergeCells count="1">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4EB49-FF8E-46BB-B8BB-A3B13262BCA8}">
  <dimension ref="A1"/>
  <sheetViews>
    <sheetView zoomScale="70" zoomScaleNormal="70" workbookViewId="0">
      <selection activeCell="N23" sqref="N23"/>
    </sheetView>
  </sheetViews>
  <sheetFormatPr baseColWidth="10" defaultColWidth="11.5546875" defaultRowHeight="14.4" x14ac:dyDescent="0.3"/>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409BB-6EDF-4233-9680-0DFD77A9FF39}">
  <dimension ref="A1:D17"/>
  <sheetViews>
    <sheetView topLeftCell="A2" zoomScaleNormal="100" workbookViewId="0">
      <selection activeCell="C15" sqref="C15"/>
    </sheetView>
  </sheetViews>
  <sheetFormatPr baseColWidth="10" defaultColWidth="11.44140625" defaultRowHeight="13.8" x14ac:dyDescent="0.3"/>
  <cols>
    <col min="1" max="1" width="36.33203125" style="2" bestFit="1" customWidth="1"/>
    <col min="2" max="3" width="22.33203125" style="2" bestFit="1" customWidth="1"/>
    <col min="4" max="4" width="57.6640625" style="7" customWidth="1"/>
    <col min="5" max="16384" width="11.44140625" style="2"/>
  </cols>
  <sheetData>
    <row r="1" spans="1:4" x14ac:dyDescent="0.3">
      <c r="A1" s="1" t="s">
        <v>0</v>
      </c>
      <c r="B1" s="88" t="s">
        <v>9</v>
      </c>
      <c r="C1" s="88"/>
      <c r="D1" s="89"/>
    </row>
    <row r="2" spans="1:4" ht="36" customHeight="1" x14ac:dyDescent="0.3">
      <c r="A2" s="3" t="s">
        <v>1</v>
      </c>
      <c r="B2" s="90" t="s">
        <v>10</v>
      </c>
      <c r="C2" s="91"/>
      <c r="D2" s="92"/>
    </row>
    <row r="3" spans="1:4" x14ac:dyDescent="0.3">
      <c r="A3" s="93" t="s">
        <v>2</v>
      </c>
      <c r="B3" s="94"/>
      <c r="C3" s="94"/>
      <c r="D3" s="95"/>
    </row>
    <row r="4" spans="1:4" x14ac:dyDescent="0.3">
      <c r="A4" s="4" t="s">
        <v>3</v>
      </c>
      <c r="B4" s="5" t="s">
        <v>4</v>
      </c>
      <c r="C4" s="5" t="s">
        <v>5</v>
      </c>
      <c r="D4" s="6" t="s">
        <v>1</v>
      </c>
    </row>
    <row r="5" spans="1:4" ht="15" customHeight="1" x14ac:dyDescent="0.3">
      <c r="A5" s="98" t="s">
        <v>6</v>
      </c>
      <c r="B5" s="99" t="s">
        <v>79</v>
      </c>
      <c r="C5" s="27" t="s">
        <v>23</v>
      </c>
      <c r="D5" s="100" t="s">
        <v>67</v>
      </c>
    </row>
    <row r="6" spans="1:4" ht="15" customHeight="1" x14ac:dyDescent="0.3">
      <c r="A6" s="98"/>
      <c r="B6" s="99"/>
      <c r="C6" s="27" t="s">
        <v>41</v>
      </c>
      <c r="D6" s="100"/>
    </row>
    <row r="7" spans="1:4" ht="15" customHeight="1" x14ac:dyDescent="0.3">
      <c r="A7" s="98"/>
      <c r="B7" s="99"/>
      <c r="C7" s="27" t="s">
        <v>66</v>
      </c>
      <c r="D7" s="100"/>
    </row>
    <row r="8" spans="1:4" ht="15" customHeight="1" x14ac:dyDescent="0.3">
      <c r="A8" s="98"/>
      <c r="B8" s="99"/>
      <c r="C8" s="27" t="s">
        <v>81</v>
      </c>
      <c r="D8" s="100"/>
    </row>
    <row r="9" spans="1:4" ht="18.75" customHeight="1" x14ac:dyDescent="0.3">
      <c r="A9" s="98"/>
      <c r="B9" s="99"/>
      <c r="C9" s="27" t="s">
        <v>82</v>
      </c>
      <c r="D9" s="100"/>
    </row>
    <row r="10" spans="1:4" ht="14.4" x14ac:dyDescent="0.3">
      <c r="A10" s="96" t="s">
        <v>6</v>
      </c>
      <c r="B10" s="97" t="s">
        <v>80</v>
      </c>
      <c r="C10" s="28" t="s">
        <v>24</v>
      </c>
      <c r="D10" s="96" t="s">
        <v>27</v>
      </c>
    </row>
    <row r="11" spans="1:4" ht="26.4" customHeight="1" x14ac:dyDescent="0.3">
      <c r="A11" s="96"/>
      <c r="B11" s="97"/>
      <c r="C11" s="28" t="s">
        <v>82</v>
      </c>
      <c r="D11" s="96"/>
    </row>
    <row r="12" spans="1:4" ht="21" customHeight="1" x14ac:dyDescent="0.3">
      <c r="A12" s="104" t="s">
        <v>6</v>
      </c>
      <c r="B12" s="101" t="s">
        <v>83</v>
      </c>
      <c r="C12" s="27" t="s">
        <v>41</v>
      </c>
      <c r="D12" s="104" t="s">
        <v>84</v>
      </c>
    </row>
    <row r="13" spans="1:4" ht="21" customHeight="1" x14ac:dyDescent="0.3">
      <c r="A13" s="105"/>
      <c r="B13" s="102"/>
      <c r="C13" s="27" t="s">
        <v>64</v>
      </c>
      <c r="D13" s="105"/>
    </row>
    <row r="14" spans="1:4" ht="21" customHeight="1" x14ac:dyDescent="0.3">
      <c r="A14" s="106"/>
      <c r="B14" s="103"/>
      <c r="C14" s="27" t="s">
        <v>65</v>
      </c>
      <c r="D14" s="106"/>
    </row>
    <row r="15" spans="1:4" ht="14.4" x14ac:dyDescent="0.3">
      <c r="A15" s="79" t="s">
        <v>6</v>
      </c>
      <c r="B15" s="82" t="s">
        <v>63</v>
      </c>
      <c r="C15" s="42" t="s">
        <v>25</v>
      </c>
      <c r="D15" s="85" t="s">
        <v>26</v>
      </c>
    </row>
    <row r="16" spans="1:4" ht="14.4" x14ac:dyDescent="0.3">
      <c r="A16" s="80"/>
      <c r="B16" s="83"/>
      <c r="C16" s="42" t="s">
        <v>65</v>
      </c>
      <c r="D16" s="86"/>
    </row>
    <row r="17" spans="1:4" ht="14.4" x14ac:dyDescent="0.3">
      <c r="A17" s="81"/>
      <c r="B17" s="84"/>
      <c r="C17" s="42" t="s">
        <v>24</v>
      </c>
      <c r="D17" s="87"/>
    </row>
  </sheetData>
  <mergeCells count="15">
    <mergeCell ref="A15:A17"/>
    <mergeCell ref="B15:B17"/>
    <mergeCell ref="D15:D17"/>
    <mergeCell ref="B1:D1"/>
    <mergeCell ref="B2:D2"/>
    <mergeCell ref="A3:D3"/>
    <mergeCell ref="A10:A11"/>
    <mergeCell ref="B10:B11"/>
    <mergeCell ref="D10:D11"/>
    <mergeCell ref="A5:A9"/>
    <mergeCell ref="B5:B9"/>
    <mergeCell ref="D5:D9"/>
    <mergeCell ref="B12:B14"/>
    <mergeCell ref="A12:A14"/>
    <mergeCell ref="D12:D14"/>
  </mergeCells>
  <hyperlinks>
    <hyperlink ref="C10" location="Residentes!A8" display="Residente" xr:uid="{15D235C3-AE5D-4A66-A93D-478D5D68669F}"/>
    <hyperlink ref="C11" location="'Conjuntos Residenciales'!A11" display="Inmueble" xr:uid="{E45FCE5E-CCFD-4E0F-B10E-AD3E7BB8F2D6}"/>
    <hyperlink ref="C15" location="Reservas!A1" display="Reserva" xr:uid="{2E0ED804-61AA-4A90-AAE3-8F0B303F658C}"/>
    <hyperlink ref="C16" location="Reservas!A8" display="Turno" xr:uid="{E878213B-9F54-4252-9D19-6B4F3157C261}"/>
    <hyperlink ref="C17" location="Reservas!A9" display="Residente" xr:uid="{06F2A3BB-2F3D-4865-BA9B-39469E4D9172}"/>
    <hyperlink ref="B5:B9" location="'Conjuntos Residenciales'!A1" display=" Conjuntos residenciales" xr:uid="{62FF8688-50B6-499B-97D0-E2EE0B9A5049}"/>
    <hyperlink ref="B10:B11" location="Residentes!A1" display="Residentes" xr:uid="{18061B1D-C566-4199-8F9A-D57F9796EBE2}"/>
    <hyperlink ref="B12:B14" location="Agendas!A1" display="Agendas" xr:uid="{C8E9C545-7B5C-45FD-8DF0-DE3ACB694D25}"/>
    <hyperlink ref="B15:B17" location="Reservas!A1" display="Reservas" xr:uid="{10D3C645-B6DE-49BB-BCBB-2C5B720CFEDD}"/>
    <hyperlink ref="C5" location="'Conjuntos Residenciales'!A1" display="Conjunto residencial" xr:uid="{E03F3EA4-3CA3-4B3F-9D0C-49720165FE4D}"/>
    <hyperlink ref="C6" location="'Conjuntos Residenciales'!A9" display="ZonaComun" xr:uid="{B4A40325-F4D3-489C-BFBB-EBBBCBC1FBC0}"/>
    <hyperlink ref="C7" location="'Conjuntos Residenciales'!A8" display="Administrador" xr:uid="{06E7F99A-A92C-462B-B430-F03AC05AAAF4}"/>
    <hyperlink ref="C8" location="'Conjuntos Residenciales'!A10" display="ZonaInmueble" xr:uid="{A7E1B183-8967-4C53-BD28-1DA04B37B08C}"/>
    <hyperlink ref="C9" location="'Conjuntos Residenciales'!A11" display="Inmueble" xr:uid="{52BFCB4B-9371-4C78-9408-FE7F989754B6}"/>
    <hyperlink ref="C13" location="Agendas!A8" display="Agenda" xr:uid="{35690088-71B7-4013-BBA5-8197292D4BE7}"/>
    <hyperlink ref="C14" location="Agendas!A9" display="Turno" xr:uid="{8E585810-F4E0-4DA9-BB4E-EEA738C649F7}"/>
    <hyperlink ref="C12" location="'Conjuntos Residenciales'!A9" display="ZonaComun" xr:uid="{7E8865EA-CE9C-434D-99D6-CC4A31E7B5C1}"/>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BD0E291-9B7B-40D3-A6BE-3B5AE9F98A2F}">
          <x14:formula1>
            <xm:f>Valores!$A$2:$A$4</xm:f>
          </x14:formula1>
          <xm:sqref>A5:A8 A10:A12 A15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F8E16-67C6-432D-A5AA-BF67F960EE18}">
  <dimension ref="A1:F11"/>
  <sheetViews>
    <sheetView zoomScaleNormal="100" workbookViewId="0">
      <selection activeCell="D22" sqref="D22"/>
    </sheetView>
  </sheetViews>
  <sheetFormatPr baseColWidth="10" defaultColWidth="11.44140625" defaultRowHeight="14.4" x14ac:dyDescent="0.3"/>
  <cols>
    <col min="1" max="1" width="19.88671875" style="13" bestFit="1" customWidth="1"/>
    <col min="2" max="2" width="22.33203125" style="13" bestFit="1" customWidth="1"/>
    <col min="3" max="3" width="24" style="13" bestFit="1" customWidth="1"/>
    <col min="4" max="5" width="38.33203125" style="13" bestFit="1" customWidth="1"/>
    <col min="6" max="6" width="64" style="13" bestFit="1" customWidth="1"/>
    <col min="7" max="16384" width="11.44140625" style="13"/>
  </cols>
  <sheetData>
    <row r="1" spans="1:6" x14ac:dyDescent="0.3">
      <c r="A1" s="12" t="s">
        <v>28</v>
      </c>
      <c r="B1" s="107" t="str">
        <f>Contextos!B5</f>
        <v xml:space="preserve"> Conjuntos residenciales</v>
      </c>
      <c r="C1" s="107"/>
      <c r="D1" s="107"/>
      <c r="E1" s="107"/>
      <c r="F1" s="108"/>
    </row>
    <row r="2" spans="1:6" ht="38.25" customHeight="1" x14ac:dyDescent="0.3">
      <c r="A2" s="14" t="s">
        <v>29</v>
      </c>
      <c r="B2" s="109" t="str">
        <f>Contextos!D5</f>
        <v>Contexto cuya motivación es Gestionar la estructura física y los recursos disponibles en cada conjunto residencial. Aquí se manejan los datos sobre qué conjuntos existen, dónde están ubicados, qué recursos ofrecen según una Agenda con respectivos turnos para cada zona.</v>
      </c>
      <c r="C2" s="109"/>
      <c r="D2" s="109"/>
      <c r="E2" s="109"/>
      <c r="F2" s="110"/>
    </row>
    <row r="3" spans="1:6" x14ac:dyDescent="0.3">
      <c r="A3" s="14" t="s">
        <v>3</v>
      </c>
      <c r="B3" s="111" t="str">
        <f>Contextos!A5</f>
        <v>Core/Básico</v>
      </c>
      <c r="C3" s="111"/>
      <c r="D3" s="111"/>
      <c r="E3" s="111"/>
      <c r="F3" s="112"/>
    </row>
    <row r="4" spans="1:6" x14ac:dyDescent="0.3">
      <c r="A4" s="113" t="s">
        <v>30</v>
      </c>
      <c r="B4" s="114"/>
      <c r="C4" s="114"/>
      <c r="D4" s="114"/>
      <c r="E4" s="114"/>
      <c r="F4" s="115"/>
    </row>
    <row r="5" spans="1:6" x14ac:dyDescent="0.3">
      <c r="A5" s="15" t="s">
        <v>31</v>
      </c>
      <c r="B5" s="16" t="s">
        <v>32</v>
      </c>
      <c r="C5" s="116" t="s">
        <v>33</v>
      </c>
      <c r="D5" s="116" t="s">
        <v>34</v>
      </c>
      <c r="E5" s="116"/>
      <c r="F5" s="117" t="s">
        <v>1</v>
      </c>
    </row>
    <row r="6" spans="1:6" x14ac:dyDescent="0.3">
      <c r="A6" s="15" t="s">
        <v>35</v>
      </c>
      <c r="B6" s="16" t="s">
        <v>36</v>
      </c>
      <c r="C6" s="116"/>
      <c r="D6" s="116"/>
      <c r="E6" s="116"/>
      <c r="F6" s="117"/>
    </row>
    <row r="7" spans="1:6" x14ac:dyDescent="0.3">
      <c r="A7" s="15" t="s">
        <v>37</v>
      </c>
      <c r="B7" s="16" t="s">
        <v>38</v>
      </c>
      <c r="C7" s="116"/>
      <c r="D7" s="16" t="s">
        <v>39</v>
      </c>
      <c r="E7" s="17" t="s">
        <v>4</v>
      </c>
      <c r="F7" s="117"/>
    </row>
    <row r="8" spans="1:6" ht="28.8" x14ac:dyDescent="0.3">
      <c r="A8" s="24" t="s">
        <v>40</v>
      </c>
      <c r="B8" s="23" t="s">
        <v>66</v>
      </c>
      <c r="C8" s="24" t="s">
        <v>20</v>
      </c>
      <c r="D8" s="45" t="str">
        <f>B8&amp;" "&amp;A8&amp;"-0001"</f>
        <v>Administrador Conjunto Residencial-0001</v>
      </c>
      <c r="E8" s="39" t="str">
        <f>_xlfn.CONCAT(A8," de ",B8)</f>
        <v>Conjunto Residencial de Administrador</v>
      </c>
      <c r="F8" s="25" t="s">
        <v>76</v>
      </c>
    </row>
    <row r="9" spans="1:6" ht="28.8" x14ac:dyDescent="0.3">
      <c r="A9" s="18" t="s">
        <v>40</v>
      </c>
      <c r="B9" s="18" t="s">
        <v>41</v>
      </c>
      <c r="C9" s="19" t="s">
        <v>20</v>
      </c>
      <c r="D9" s="37" t="str">
        <f>B9&amp;" "&amp;A9&amp;"-0001"</f>
        <v>ZonaComun Conjunto Residencial-0001</v>
      </c>
      <c r="E9" s="38" t="str">
        <f>_xlfn.CONCAT(A9," de ",B9)</f>
        <v>Conjunto Residencial de ZonaComun</v>
      </c>
      <c r="F9" s="22" t="s">
        <v>75</v>
      </c>
    </row>
    <row r="10" spans="1:6" ht="28.8" x14ac:dyDescent="0.3">
      <c r="A10" s="43" t="s">
        <v>40</v>
      </c>
      <c r="B10" s="43" t="s">
        <v>81</v>
      </c>
      <c r="C10" s="44" t="s">
        <v>20</v>
      </c>
      <c r="D10" s="45" t="str">
        <f>B10&amp;" "&amp;A10&amp;"-0001"</f>
        <v>ZonaInmueble Conjunto Residencial-0001</v>
      </c>
      <c r="E10" s="46" t="str">
        <f>_xlfn.CONCAT(A10," de ",B10)</f>
        <v>Conjunto Residencial de ZonaInmueble</v>
      </c>
      <c r="F10" s="47" t="s">
        <v>85</v>
      </c>
    </row>
    <row r="11" spans="1:6" ht="40.5" customHeight="1" x14ac:dyDescent="0.3">
      <c r="A11" s="19" t="s">
        <v>81</v>
      </c>
      <c r="B11" s="18" t="s">
        <v>82</v>
      </c>
      <c r="C11" s="19" t="s">
        <v>20</v>
      </c>
      <c r="D11" s="37" t="str">
        <f t="shared" ref="D11" si="0">B11&amp;" "&amp;A11&amp;"-0001"</f>
        <v>Inmueble ZonaInmueble-0001</v>
      </c>
      <c r="E11" s="38" t="str">
        <f t="shared" ref="E11" si="1">_xlfn.CONCAT(A11," de ",B11)</f>
        <v>ZonaInmueble de Inmueble</v>
      </c>
      <c r="F11" s="22" t="s">
        <v>86</v>
      </c>
    </row>
  </sheetData>
  <mergeCells count="7">
    <mergeCell ref="B1:F1"/>
    <mergeCell ref="B2:F2"/>
    <mergeCell ref="B3:F3"/>
    <mergeCell ref="A4:F4"/>
    <mergeCell ref="C5:C7"/>
    <mergeCell ref="D5:E6"/>
    <mergeCell ref="F5:F7"/>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A467154-8CE8-4012-83D7-B9572690BD86}">
          <x14:formula1>
            <xm:f>Valores!$A$7:$A$13</xm:f>
          </x14:formula1>
          <xm:sqref>C8:C11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86A343-6D12-4FEA-AEEF-63E15D63FE79}">
  <dimension ref="A1:F8"/>
  <sheetViews>
    <sheetView zoomScale="160" zoomScaleNormal="160" workbookViewId="0">
      <selection activeCell="D8" sqref="D8"/>
    </sheetView>
  </sheetViews>
  <sheetFormatPr baseColWidth="10" defaultColWidth="11.44140625" defaultRowHeight="14.4" x14ac:dyDescent="0.3"/>
  <cols>
    <col min="1" max="1" width="19.88671875" style="13" bestFit="1" customWidth="1"/>
    <col min="2" max="2" width="22.33203125" style="13" bestFit="1" customWidth="1"/>
    <col min="3" max="3" width="24" style="13" bestFit="1" customWidth="1"/>
    <col min="4" max="4" width="37.88671875" style="13" bestFit="1" customWidth="1"/>
    <col min="5" max="5" width="38.33203125" style="13" bestFit="1" customWidth="1"/>
    <col min="6" max="6" width="64" style="13" bestFit="1" customWidth="1"/>
    <col min="7" max="16384" width="11.44140625" style="13"/>
  </cols>
  <sheetData>
    <row r="1" spans="1:6" x14ac:dyDescent="0.3">
      <c r="A1" s="12" t="s">
        <v>28</v>
      </c>
      <c r="B1" s="107" t="str">
        <f>Contextos!B10</f>
        <v>Residentes</v>
      </c>
      <c r="C1" s="107"/>
      <c r="D1" s="107"/>
      <c r="E1" s="107"/>
      <c r="F1" s="108"/>
    </row>
    <row r="2" spans="1:6" x14ac:dyDescent="0.3">
      <c r="A2" s="14" t="s">
        <v>29</v>
      </c>
      <c r="B2" s="109" t="str">
        <f>Contextos!D10</f>
        <v>Contexto cuya motivación es encargarce de manejar la información de los residentes, incluidas sus identificaciones, contacto, y la relación entre el residente y su residencia dentro del conjunto.</v>
      </c>
      <c r="C2" s="109"/>
      <c r="D2" s="109"/>
      <c r="E2" s="109"/>
      <c r="F2" s="110"/>
    </row>
    <row r="3" spans="1:6" x14ac:dyDescent="0.3">
      <c r="A3" s="14" t="s">
        <v>3</v>
      </c>
      <c r="B3" s="111" t="str">
        <f>Contextos!A10</f>
        <v>Core/Básico</v>
      </c>
      <c r="C3" s="111"/>
      <c r="D3" s="111"/>
      <c r="E3" s="111"/>
      <c r="F3" s="112"/>
    </row>
    <row r="4" spans="1:6" x14ac:dyDescent="0.3">
      <c r="A4" s="113" t="s">
        <v>30</v>
      </c>
      <c r="B4" s="114"/>
      <c r="C4" s="114"/>
      <c r="D4" s="114"/>
      <c r="E4" s="114"/>
      <c r="F4" s="115"/>
    </row>
    <row r="5" spans="1:6" x14ac:dyDescent="0.3">
      <c r="A5" s="15" t="s">
        <v>31</v>
      </c>
      <c r="B5" s="16" t="s">
        <v>32</v>
      </c>
      <c r="C5" s="116" t="s">
        <v>33</v>
      </c>
      <c r="D5" s="116" t="s">
        <v>34</v>
      </c>
      <c r="E5" s="116"/>
      <c r="F5" s="117" t="s">
        <v>1</v>
      </c>
    </row>
    <row r="6" spans="1:6" x14ac:dyDescent="0.3">
      <c r="A6" s="15" t="s">
        <v>35</v>
      </c>
      <c r="B6" s="16" t="s">
        <v>36</v>
      </c>
      <c r="C6" s="116"/>
      <c r="D6" s="116"/>
      <c r="E6" s="116"/>
      <c r="F6" s="117"/>
    </row>
    <row r="7" spans="1:6" x14ac:dyDescent="0.3">
      <c r="A7" s="15" t="s">
        <v>37</v>
      </c>
      <c r="B7" s="16" t="s">
        <v>38</v>
      </c>
      <c r="C7" s="116"/>
      <c r="D7" s="16" t="s">
        <v>39</v>
      </c>
      <c r="E7" s="17" t="s">
        <v>4</v>
      </c>
      <c r="F7" s="117"/>
    </row>
    <row r="8" spans="1:6" ht="28.8" x14ac:dyDescent="0.3">
      <c r="A8" s="19" t="s">
        <v>100</v>
      </c>
      <c r="B8" s="18" t="s">
        <v>24</v>
      </c>
      <c r="C8" s="19" t="s">
        <v>20</v>
      </c>
      <c r="D8" s="20" t="str">
        <f>B8&amp;" "&amp;A8&amp;"-0001"</f>
        <v>Residente ConjutosResidenciales-0001</v>
      </c>
      <c r="E8" s="21" t="str">
        <f>_xlfn.CONCAT(A8," de ",B8)</f>
        <v>ConjutosResidenciales de Residente</v>
      </c>
      <c r="F8" s="22" t="s">
        <v>87</v>
      </c>
    </row>
  </sheetData>
  <mergeCells count="7">
    <mergeCell ref="B1:F1"/>
    <mergeCell ref="B2:F2"/>
    <mergeCell ref="B3:F3"/>
    <mergeCell ref="A4:F4"/>
    <mergeCell ref="C5:C7"/>
    <mergeCell ref="D5:E6"/>
    <mergeCell ref="F5:F7"/>
  </mergeCells>
  <hyperlinks>
    <hyperlink ref="D8" location="'Residente-Inmueble-0001'!A1" display="'Residente-Inmueble-0001'!A1" xr:uid="{C619A137-6D56-4753-9AB1-F5FF50376A61}"/>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AB5A774-8435-407F-9816-C57C76A97F1C}">
          <x14:formula1>
            <xm:f>Valores!$A$7:$A$13</xm:f>
          </x14:formula1>
          <xm:sqref>C8</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35CF3-0DE6-45E6-A198-1E7042F5E8F9}">
  <dimension ref="A1:S35"/>
  <sheetViews>
    <sheetView tabSelected="1" zoomScale="42" zoomScaleNormal="47" workbookViewId="0">
      <selection activeCell="R15" sqref="R15"/>
    </sheetView>
  </sheetViews>
  <sheetFormatPr baseColWidth="10" defaultColWidth="11.44140625" defaultRowHeight="14.4" x14ac:dyDescent="0.3"/>
  <cols>
    <col min="1" max="1" width="13.88671875" style="13" customWidth="1"/>
    <col min="2" max="2" width="19.88671875" style="13" customWidth="1"/>
    <col min="3" max="3" width="23.44140625" style="13" bestFit="1" customWidth="1"/>
    <col min="4" max="4" width="19.21875" style="13" customWidth="1"/>
    <col min="5" max="5" width="16.109375" style="13" bestFit="1" customWidth="1"/>
    <col min="6" max="6" width="16.44140625" style="13" bestFit="1" customWidth="1"/>
    <col min="7" max="7" width="9.44140625" style="13" bestFit="1" customWidth="1"/>
    <col min="8" max="8" width="12.5546875" style="13" bestFit="1" customWidth="1"/>
    <col min="9" max="9" width="12" style="13" bestFit="1" customWidth="1"/>
    <col min="10" max="10" width="31" style="13" bestFit="1" customWidth="1"/>
    <col min="11" max="11" width="23.5546875" style="13" bestFit="1" customWidth="1"/>
    <col min="12" max="12" width="16.5546875" style="13" bestFit="1" customWidth="1"/>
    <col min="13" max="13" width="16.109375" style="13" bestFit="1" customWidth="1"/>
    <col min="14" max="14" width="16.44140625" style="13" bestFit="1" customWidth="1"/>
    <col min="15" max="15" width="9.44140625" style="13" bestFit="1" customWidth="1"/>
    <col min="16" max="16" width="12.5546875" style="13" bestFit="1" customWidth="1"/>
    <col min="17" max="17" width="12" style="13" bestFit="1" customWidth="1"/>
    <col min="18" max="18" width="58" style="26" customWidth="1"/>
    <col min="19" max="19" width="17.109375" style="13" bestFit="1" customWidth="1"/>
    <col min="20" max="16384" width="11.44140625" style="13"/>
  </cols>
  <sheetData>
    <row r="1" spans="1:19" x14ac:dyDescent="0.3">
      <c r="A1" s="12" t="s">
        <v>39</v>
      </c>
      <c r="B1" s="120" t="str">
        <f>Residentes!D8</f>
        <v>Residente ConjutosResidenciales-0001</v>
      </c>
      <c r="C1" s="120"/>
      <c r="D1" s="120"/>
      <c r="E1" s="120"/>
      <c r="F1" s="120"/>
      <c r="G1" s="120"/>
      <c r="H1" s="120"/>
      <c r="I1" s="120"/>
      <c r="J1" s="120"/>
      <c r="K1" s="120"/>
      <c r="L1" s="120"/>
      <c r="M1" s="120"/>
      <c r="N1" s="120"/>
      <c r="O1" s="120"/>
      <c r="P1" s="120"/>
      <c r="Q1" s="120"/>
      <c r="R1" s="120"/>
      <c r="S1" s="121"/>
    </row>
    <row r="2" spans="1:19" ht="15" thickBot="1" x14ac:dyDescent="0.35">
      <c r="A2" s="113"/>
      <c r="B2" s="114"/>
      <c r="C2" s="114"/>
      <c r="D2" s="114"/>
      <c r="E2" s="114"/>
      <c r="F2" s="114"/>
      <c r="G2" s="114"/>
      <c r="H2" s="114"/>
      <c r="I2" s="114"/>
      <c r="J2" s="114"/>
      <c r="K2" s="114"/>
      <c r="L2" s="114"/>
      <c r="M2" s="114"/>
      <c r="N2" s="114"/>
      <c r="O2" s="114"/>
      <c r="P2" s="114"/>
      <c r="Q2" s="114"/>
      <c r="R2" s="122"/>
      <c r="S2" s="115"/>
    </row>
    <row r="3" spans="1:19" ht="15.6" thickTop="1" thickBot="1" x14ac:dyDescent="0.35">
      <c r="A3" s="195" t="s">
        <v>42</v>
      </c>
      <c r="B3" s="196"/>
      <c r="C3" s="196"/>
      <c r="D3" s="196"/>
      <c r="E3" s="196"/>
      <c r="F3" s="196"/>
      <c r="G3" s="196"/>
      <c r="H3" s="196"/>
      <c r="I3" s="196"/>
      <c r="J3" s="196" t="s">
        <v>43</v>
      </c>
      <c r="K3" s="196"/>
      <c r="L3" s="196"/>
      <c r="M3" s="196"/>
      <c r="N3" s="196"/>
      <c r="O3" s="196"/>
      <c r="P3" s="196"/>
      <c r="Q3" s="197"/>
      <c r="R3" s="125" t="s">
        <v>29</v>
      </c>
      <c r="S3" s="219" t="s">
        <v>44</v>
      </c>
    </row>
    <row r="4" spans="1:19" ht="15.6" thickTop="1" thickBot="1" x14ac:dyDescent="0.35">
      <c r="A4" s="199" t="s">
        <v>28</v>
      </c>
      <c r="B4" s="199" t="s">
        <v>45</v>
      </c>
      <c r="C4" s="199" t="s">
        <v>46</v>
      </c>
      <c r="D4" s="199"/>
      <c r="E4" s="199" t="s">
        <v>48</v>
      </c>
      <c r="F4" s="199" t="s">
        <v>49</v>
      </c>
      <c r="G4" s="199" t="s">
        <v>50</v>
      </c>
      <c r="H4" s="199" t="s">
        <v>51</v>
      </c>
      <c r="I4" s="199" t="s">
        <v>52</v>
      </c>
      <c r="J4" s="199" t="s">
        <v>53</v>
      </c>
      <c r="K4" s="199" t="s">
        <v>54</v>
      </c>
      <c r="L4" s="199" t="s">
        <v>47</v>
      </c>
      <c r="M4" s="199" t="s">
        <v>48</v>
      </c>
      <c r="N4" s="199" t="s">
        <v>49</v>
      </c>
      <c r="O4" s="199" t="s">
        <v>50</v>
      </c>
      <c r="P4" s="199" t="s">
        <v>51</v>
      </c>
      <c r="Q4" s="200" t="s">
        <v>52</v>
      </c>
      <c r="R4" s="126"/>
      <c r="S4" s="220"/>
    </row>
    <row r="5" spans="1:19" ht="30" customHeight="1" thickTop="1" thickBot="1" x14ac:dyDescent="0.35">
      <c r="A5" s="201" t="s">
        <v>60</v>
      </c>
      <c r="B5" s="210" t="s">
        <v>24</v>
      </c>
      <c r="C5" s="211" t="s">
        <v>55</v>
      </c>
      <c r="D5" s="212" t="s">
        <v>137</v>
      </c>
      <c r="E5" s="211">
        <v>32</v>
      </c>
      <c r="F5" s="211">
        <v>32</v>
      </c>
      <c r="G5" s="211"/>
      <c r="H5" s="211"/>
      <c r="I5" s="211"/>
      <c r="J5" s="212" t="str">
        <f>_xlfn.CONCAT(C5,$B$5)</f>
        <v>identificadorResidente</v>
      </c>
      <c r="K5" s="212" t="s">
        <v>59</v>
      </c>
      <c r="L5" s="212" t="s">
        <v>137</v>
      </c>
      <c r="M5" s="211">
        <v>32</v>
      </c>
      <c r="N5" s="211">
        <v>32</v>
      </c>
      <c r="O5" s="213"/>
      <c r="P5" s="213"/>
      <c r="Q5" s="214"/>
      <c r="R5" s="215" t="s">
        <v>158</v>
      </c>
      <c r="S5" s="118" t="s">
        <v>82</v>
      </c>
    </row>
    <row r="6" spans="1:19" ht="15.6" thickTop="1" thickBot="1" x14ac:dyDescent="0.35">
      <c r="A6" s="133"/>
      <c r="B6" s="216"/>
      <c r="C6" s="211" t="s">
        <v>57</v>
      </c>
      <c r="D6" s="212" t="s">
        <v>58</v>
      </c>
      <c r="E6" s="211">
        <v>1</v>
      </c>
      <c r="F6" s="211">
        <v>50</v>
      </c>
      <c r="G6" s="211"/>
      <c r="H6" s="211"/>
      <c r="I6" s="211"/>
      <c r="J6" s="212" t="str">
        <f t="shared" ref="J6:J14" si="0">_xlfn.CONCAT(C6,$B$5)</f>
        <v>nombreResidente</v>
      </c>
      <c r="K6" s="212" t="s">
        <v>59</v>
      </c>
      <c r="L6" s="212" t="s">
        <v>58</v>
      </c>
      <c r="M6" s="211">
        <v>1</v>
      </c>
      <c r="N6" s="211">
        <v>50</v>
      </c>
      <c r="O6" s="213"/>
      <c r="P6" s="213"/>
      <c r="Q6" s="214"/>
      <c r="R6" s="215" t="s">
        <v>159</v>
      </c>
      <c r="S6" s="118"/>
    </row>
    <row r="7" spans="1:19" ht="15.6" thickTop="1" thickBot="1" x14ac:dyDescent="0.35">
      <c r="A7" s="133"/>
      <c r="B7" s="216"/>
      <c r="C7" s="211" t="s">
        <v>151</v>
      </c>
      <c r="D7" s="212" t="s">
        <v>58</v>
      </c>
      <c r="E7" s="211">
        <v>1</v>
      </c>
      <c r="F7" s="211">
        <v>50</v>
      </c>
      <c r="G7" s="211"/>
      <c r="H7" s="211"/>
      <c r="I7" s="211"/>
      <c r="J7" s="212" t="str">
        <f t="shared" si="0"/>
        <v>apellidoResidente</v>
      </c>
      <c r="K7" s="212" t="s">
        <v>59</v>
      </c>
      <c r="L7" s="212" t="s">
        <v>58</v>
      </c>
      <c r="M7" s="211">
        <v>1</v>
      </c>
      <c r="N7" s="211">
        <v>50</v>
      </c>
      <c r="O7" s="213"/>
      <c r="P7" s="213"/>
      <c r="Q7" s="214"/>
      <c r="R7" s="215" t="s">
        <v>160</v>
      </c>
      <c r="S7" s="118"/>
    </row>
    <row r="8" spans="1:19" ht="30" thickTop="1" thickBot="1" x14ac:dyDescent="0.35">
      <c r="A8" s="133"/>
      <c r="B8" s="216"/>
      <c r="C8" s="211" t="s">
        <v>152</v>
      </c>
      <c r="D8" s="212" t="s">
        <v>58</v>
      </c>
      <c r="E8" s="211">
        <v>1</v>
      </c>
      <c r="F8" s="211">
        <v>50</v>
      </c>
      <c r="G8" s="211"/>
      <c r="H8" s="211"/>
      <c r="I8" s="211"/>
      <c r="J8" s="212" t="str">
        <f t="shared" si="0"/>
        <v>tipoDocumentoResidente</v>
      </c>
      <c r="K8" s="212" t="s">
        <v>59</v>
      </c>
      <c r="L8" s="212" t="s">
        <v>58</v>
      </c>
      <c r="M8" s="211">
        <v>1</v>
      </c>
      <c r="N8" s="211">
        <v>50</v>
      </c>
      <c r="O8" s="213"/>
      <c r="P8" s="213"/>
      <c r="Q8" s="214"/>
      <c r="R8" s="215" t="s">
        <v>161</v>
      </c>
      <c r="S8" s="118"/>
    </row>
    <row r="9" spans="1:19" ht="30" thickTop="1" thickBot="1" x14ac:dyDescent="0.35">
      <c r="A9" s="133"/>
      <c r="B9" s="216"/>
      <c r="C9" s="211" t="s">
        <v>117</v>
      </c>
      <c r="D9" s="212" t="s">
        <v>116</v>
      </c>
      <c r="E9" s="211"/>
      <c r="F9" s="211"/>
      <c r="G9" s="211"/>
      <c r="H9" s="211"/>
      <c r="I9" s="211"/>
      <c r="J9" s="212" t="str">
        <f t="shared" si="0"/>
        <v>numeroDocumentoResidente</v>
      </c>
      <c r="K9" s="212" t="s">
        <v>59</v>
      </c>
      <c r="L9" s="212" t="s">
        <v>116</v>
      </c>
      <c r="M9" s="211"/>
      <c r="N9" s="211"/>
      <c r="O9" s="213"/>
      <c r="P9" s="213"/>
      <c r="Q9" s="214"/>
      <c r="R9" s="215" t="s">
        <v>162</v>
      </c>
      <c r="S9" s="118"/>
    </row>
    <row r="10" spans="1:19" ht="30" thickTop="1" thickBot="1" x14ac:dyDescent="0.35">
      <c r="A10" s="133"/>
      <c r="B10" s="216"/>
      <c r="C10" s="211" t="s">
        <v>153</v>
      </c>
      <c r="D10" s="212" t="s">
        <v>154</v>
      </c>
      <c r="E10" s="211"/>
      <c r="F10" s="211"/>
      <c r="G10" s="211"/>
      <c r="H10" s="211"/>
      <c r="I10" s="211"/>
      <c r="J10" s="212" t="str">
        <f t="shared" si="0"/>
        <v>fechaNacimientoResidente</v>
      </c>
      <c r="K10" s="212" t="s">
        <v>59</v>
      </c>
      <c r="L10" s="212" t="s">
        <v>154</v>
      </c>
      <c r="M10" s="211"/>
      <c r="N10" s="211"/>
      <c r="O10" s="213"/>
      <c r="P10" s="213"/>
      <c r="Q10" s="214"/>
      <c r="R10" s="215" t="s">
        <v>163</v>
      </c>
      <c r="S10" s="118"/>
    </row>
    <row r="11" spans="1:19" ht="15.6" thickTop="1" thickBot="1" x14ac:dyDescent="0.35">
      <c r="A11" s="133"/>
      <c r="B11" s="216"/>
      <c r="C11" s="211" t="s">
        <v>155</v>
      </c>
      <c r="D11" s="212" t="s">
        <v>116</v>
      </c>
      <c r="E11" s="211"/>
      <c r="F11" s="211"/>
      <c r="G11" s="211"/>
      <c r="H11" s="211"/>
      <c r="I11" s="211"/>
      <c r="J11" s="212" t="str">
        <f t="shared" si="0"/>
        <v>numeroContactoResidente</v>
      </c>
      <c r="K11" s="212" t="s">
        <v>59</v>
      </c>
      <c r="L11" s="212" t="s">
        <v>116</v>
      </c>
      <c r="M11" s="211"/>
      <c r="N11" s="211"/>
      <c r="O11" s="213"/>
      <c r="P11" s="213"/>
      <c r="Q11" s="214"/>
      <c r="R11" s="215" t="s">
        <v>164</v>
      </c>
      <c r="S11" s="118"/>
    </row>
    <row r="12" spans="1:19" ht="15.6" thickTop="1" thickBot="1" x14ac:dyDescent="0.35">
      <c r="A12" s="133"/>
      <c r="B12" s="216"/>
      <c r="C12" s="211" t="s">
        <v>156</v>
      </c>
      <c r="D12" s="212" t="s">
        <v>137</v>
      </c>
      <c r="E12" s="211">
        <v>6</v>
      </c>
      <c r="F12" s="211">
        <v>50</v>
      </c>
      <c r="G12" s="211"/>
      <c r="H12" s="211"/>
      <c r="I12" s="211"/>
      <c r="J12" s="212" t="str">
        <f t="shared" si="0"/>
        <v>correoElectronicoResidente</v>
      </c>
      <c r="K12" s="212" t="s">
        <v>59</v>
      </c>
      <c r="L12" s="212" t="s">
        <v>137</v>
      </c>
      <c r="M12" s="211">
        <v>6</v>
      </c>
      <c r="N12" s="211">
        <v>50</v>
      </c>
      <c r="O12" s="213"/>
      <c r="P12" s="213"/>
      <c r="Q12" s="214"/>
      <c r="R12" s="215" t="s">
        <v>165</v>
      </c>
      <c r="S12" s="118"/>
    </row>
    <row r="13" spans="1:19" ht="15.6" thickTop="1" thickBot="1" x14ac:dyDescent="0.35">
      <c r="A13" s="133"/>
      <c r="B13" s="216"/>
      <c r="C13" s="211" t="s">
        <v>157</v>
      </c>
      <c r="D13" s="212" t="s">
        <v>137</v>
      </c>
      <c r="E13" s="211">
        <v>8</v>
      </c>
      <c r="F13" s="211">
        <v>30</v>
      </c>
      <c r="G13" s="211"/>
      <c r="H13" s="211"/>
      <c r="I13" s="211"/>
      <c r="J13" s="212" t="str">
        <f t="shared" si="0"/>
        <v>contraseñaResidente</v>
      </c>
      <c r="K13" s="212" t="s">
        <v>59</v>
      </c>
      <c r="L13" s="212" t="s">
        <v>137</v>
      </c>
      <c r="M13" s="211">
        <v>8</v>
      </c>
      <c r="N13" s="211">
        <v>30</v>
      </c>
      <c r="O13" s="213"/>
      <c r="P13" s="213"/>
      <c r="Q13" s="214"/>
      <c r="R13" s="215" t="s">
        <v>166</v>
      </c>
      <c r="S13" s="118"/>
    </row>
    <row r="14" spans="1:19" ht="15.6" thickTop="1" thickBot="1" x14ac:dyDescent="0.35">
      <c r="A14" s="133"/>
      <c r="B14" s="217"/>
      <c r="C14" s="211" t="s">
        <v>115</v>
      </c>
      <c r="D14" s="218" t="s">
        <v>82</v>
      </c>
      <c r="E14" s="211"/>
      <c r="F14" s="211"/>
      <c r="G14" s="211"/>
      <c r="H14" s="211"/>
      <c r="I14" s="211"/>
      <c r="J14" s="212" t="str">
        <f t="shared" si="0"/>
        <v>inmuebleResidente</v>
      </c>
      <c r="K14" s="212"/>
      <c r="L14" s="213"/>
      <c r="M14" s="213"/>
      <c r="N14" s="213"/>
      <c r="O14" s="213"/>
      <c r="P14" s="213"/>
      <c r="Q14" s="214"/>
      <c r="R14" s="215"/>
      <c r="S14" s="118"/>
    </row>
    <row r="15" spans="1:19" ht="46.5" customHeight="1" thickTop="1" thickBot="1" x14ac:dyDescent="0.35">
      <c r="A15" s="133"/>
      <c r="B15" s="136" t="s">
        <v>82</v>
      </c>
      <c r="C15" s="62" t="s">
        <v>55</v>
      </c>
      <c r="D15" s="202" t="s">
        <v>56</v>
      </c>
      <c r="E15" s="74">
        <v>32</v>
      </c>
      <c r="F15" s="74">
        <v>32</v>
      </c>
      <c r="G15" s="74"/>
      <c r="H15" s="74"/>
      <c r="I15" s="74"/>
      <c r="J15" s="74" t="str">
        <f>_xlfn.CONCAT(C15,$B$15)</f>
        <v>identificadorInmueble</v>
      </c>
      <c r="K15" s="74" t="s">
        <v>59</v>
      </c>
      <c r="L15" s="74" t="s">
        <v>56</v>
      </c>
      <c r="M15" s="74">
        <v>32</v>
      </c>
      <c r="N15" s="74">
        <v>32</v>
      </c>
      <c r="O15" s="74"/>
      <c r="P15" s="74"/>
      <c r="Q15" s="198"/>
      <c r="R15" s="68" t="str">
        <f>_xlfn.CONCAT("Atributo que contiene la informacion del ",C15," del objeto dominio ",B15,"  en el contexto de ",A5,".")</f>
        <v>Atributo que contiene la informacion del identificador del objeto dominio Inmueble  en el contexto de Conjuntos Residenciales.</v>
      </c>
      <c r="S15" s="118"/>
    </row>
    <row r="16" spans="1:19" ht="46.5" customHeight="1" thickTop="1" thickBot="1" x14ac:dyDescent="0.35">
      <c r="A16" s="133"/>
      <c r="B16" s="136"/>
      <c r="C16" s="58" t="s">
        <v>92</v>
      </c>
      <c r="D16" s="203" t="s">
        <v>93</v>
      </c>
      <c r="E16" s="51">
        <v>1</v>
      </c>
      <c r="F16" s="51">
        <v>50</v>
      </c>
      <c r="G16" s="51"/>
      <c r="H16" s="51"/>
      <c r="I16" s="51"/>
      <c r="J16" s="51" t="str">
        <f>_xlfn.CONCAT(C16,$B$15)</f>
        <v>numeroViviendaInmueble</v>
      </c>
      <c r="K16" s="51" t="s">
        <v>59</v>
      </c>
      <c r="L16" s="51" t="s">
        <v>93</v>
      </c>
      <c r="M16" s="51">
        <v>1</v>
      </c>
      <c r="N16" s="51">
        <v>50</v>
      </c>
      <c r="O16" s="51"/>
      <c r="P16" s="51"/>
      <c r="Q16" s="52"/>
      <c r="R16" s="68" t="str">
        <f>_xlfn.CONCAT("Atributo que contiene la informacion del ",C16," del objeto dominio ",B15,"  en el contexto de ",A5,".")</f>
        <v>Atributo que contiene la informacion del numeroVivienda del objeto dominio Inmueble  en el contexto de Conjuntos Residenciales.</v>
      </c>
      <c r="S16" s="118"/>
    </row>
    <row r="17" spans="1:19" ht="15.6" thickTop="1" thickBot="1" x14ac:dyDescent="0.35">
      <c r="A17" s="133"/>
      <c r="B17" s="136"/>
      <c r="C17" s="62" t="s">
        <v>101</v>
      </c>
      <c r="D17" s="204" t="s">
        <v>81</v>
      </c>
      <c r="E17" s="51"/>
      <c r="F17" s="51"/>
      <c r="G17" s="51"/>
      <c r="H17" s="51"/>
      <c r="I17" s="51"/>
      <c r="J17" s="51"/>
      <c r="K17" s="51"/>
      <c r="L17" s="51"/>
      <c r="M17" s="51"/>
      <c r="N17" s="51"/>
      <c r="O17" s="51"/>
      <c r="P17" s="51"/>
      <c r="Q17" s="52"/>
      <c r="R17" s="68"/>
      <c r="S17" s="118"/>
    </row>
    <row r="18" spans="1:19" ht="15.6" thickTop="1" thickBot="1" x14ac:dyDescent="0.35">
      <c r="A18" s="133"/>
      <c r="B18" s="137"/>
      <c r="C18" s="62" t="s">
        <v>91</v>
      </c>
      <c r="D18" s="204" t="s">
        <v>98</v>
      </c>
      <c r="E18" s="51"/>
      <c r="F18" s="51"/>
      <c r="G18" s="51"/>
      <c r="H18" s="51"/>
      <c r="I18" s="51"/>
      <c r="J18" s="51"/>
      <c r="K18" s="51"/>
      <c r="L18" s="51"/>
      <c r="M18" s="51"/>
      <c r="N18" s="51"/>
      <c r="O18" s="51"/>
      <c r="P18" s="51"/>
      <c r="Q18" s="52"/>
      <c r="R18" s="68"/>
      <c r="S18" s="118"/>
    </row>
    <row r="19" spans="1:19" ht="30" thickTop="1" thickBot="1" x14ac:dyDescent="0.35">
      <c r="A19" s="133"/>
      <c r="B19" s="193" t="s">
        <v>98</v>
      </c>
      <c r="C19" s="50" t="s">
        <v>55</v>
      </c>
      <c r="D19" s="205" t="s">
        <v>56</v>
      </c>
      <c r="E19" s="31">
        <v>32</v>
      </c>
      <c r="F19" s="31">
        <v>32</v>
      </c>
      <c r="G19" s="31"/>
      <c r="H19" s="31"/>
      <c r="I19" s="31"/>
      <c r="J19" s="31" t="str">
        <f>_xlfn.CONCAT(C19,$B$19)</f>
        <v>identificadorTipoInmueble</v>
      </c>
      <c r="K19" s="31" t="s">
        <v>59</v>
      </c>
      <c r="L19" s="31" t="s">
        <v>56</v>
      </c>
      <c r="M19" s="31">
        <v>32</v>
      </c>
      <c r="N19" s="31">
        <v>32</v>
      </c>
      <c r="O19" s="31"/>
      <c r="P19" s="31"/>
      <c r="Q19" s="53"/>
      <c r="R19" s="63" t="str">
        <f>_xlfn.CONCAT("Atributo que contiene la informacion del ",C19," del objeto dominio ",B19,"  en el contexto de ",A5,".")</f>
        <v>Atributo que contiene la informacion del identificador del objeto dominio TipoInmueble  en el contexto de Conjuntos Residenciales.</v>
      </c>
      <c r="S19" s="118"/>
    </row>
    <row r="20" spans="1:19" ht="30" thickTop="1" thickBot="1" x14ac:dyDescent="0.35">
      <c r="A20" s="133"/>
      <c r="B20" s="194"/>
      <c r="C20" s="50" t="s">
        <v>57</v>
      </c>
      <c r="D20" s="205" t="s">
        <v>58</v>
      </c>
      <c r="E20" s="31">
        <v>1</v>
      </c>
      <c r="F20" s="31">
        <v>50</v>
      </c>
      <c r="G20" s="31"/>
      <c r="H20" s="31"/>
      <c r="I20" s="31"/>
      <c r="J20" s="31" t="str">
        <f t="shared" ref="J20" si="1">_xlfn.CONCAT(C20,$B$19)</f>
        <v>nombreTipoInmueble</v>
      </c>
      <c r="K20" s="31" t="s">
        <v>59</v>
      </c>
      <c r="L20" s="31" t="s">
        <v>58</v>
      </c>
      <c r="M20" s="31">
        <v>1</v>
      </c>
      <c r="N20" s="31">
        <v>50</v>
      </c>
      <c r="O20" s="31"/>
      <c r="P20" s="31"/>
      <c r="Q20" s="53"/>
      <c r="R20" s="59" t="str">
        <f>_xlfn.CONCAT("Atributo que contiene la informacion del ",C20," del objeto dominio ",B20,"  en el contexto de ",A5,".")</f>
        <v>Atributo que contiene la informacion del nombre del objeto dominio   en el contexto de Conjuntos Residenciales.</v>
      </c>
      <c r="S20" s="118"/>
    </row>
    <row r="21" spans="1:19" ht="30" thickTop="1" thickBot="1" x14ac:dyDescent="0.35">
      <c r="A21" s="133"/>
      <c r="B21" s="130" t="s">
        <v>81</v>
      </c>
      <c r="C21" s="55" t="s">
        <v>55</v>
      </c>
      <c r="D21" s="206" t="s">
        <v>56</v>
      </c>
      <c r="E21" s="56">
        <v>32</v>
      </c>
      <c r="F21" s="56">
        <v>32</v>
      </c>
      <c r="G21" s="56"/>
      <c r="H21" s="56"/>
      <c r="I21" s="56"/>
      <c r="J21" s="56" t="str">
        <f>_xlfn.CONCAT(C21,$B$21)</f>
        <v>identificadorZonaInmueble</v>
      </c>
      <c r="K21" s="56" t="s">
        <v>59</v>
      </c>
      <c r="L21" s="56" t="s">
        <v>56</v>
      </c>
      <c r="M21" s="56">
        <v>32</v>
      </c>
      <c r="N21" s="56">
        <v>32</v>
      </c>
      <c r="O21" s="56"/>
      <c r="P21" s="56"/>
      <c r="Q21" s="57"/>
      <c r="R21" s="60" t="str">
        <f>_xlfn.CONCAT("Atributo que contiene la informacion del ",C21," del objeto dominio ",B21,"  en el contexto de ",A3,".")</f>
        <v>Atributo que contiene la informacion del identificador del objeto dominio ZonaInmueble  en el contexto de Caracterización Origen.</v>
      </c>
      <c r="S21" s="118"/>
    </row>
    <row r="22" spans="1:19" ht="30" thickTop="1" thickBot="1" x14ac:dyDescent="0.35">
      <c r="A22" s="133"/>
      <c r="B22" s="131"/>
      <c r="C22" s="55" t="s">
        <v>135</v>
      </c>
      <c r="D22" s="206" t="s">
        <v>116</v>
      </c>
      <c r="E22" s="56">
        <v>1</v>
      </c>
      <c r="F22" s="56">
        <v>20</v>
      </c>
      <c r="G22" s="56"/>
      <c r="H22" s="56">
        <v>1</v>
      </c>
      <c r="I22" s="56">
        <v>200</v>
      </c>
      <c r="J22" s="56" t="str">
        <f>_xlfn.CONCAT(C22,$B$21)</f>
        <v>numeroZonaInmuebleZonaInmueble</v>
      </c>
      <c r="K22" s="56" t="s">
        <v>59</v>
      </c>
      <c r="L22" s="56" t="s">
        <v>116</v>
      </c>
      <c r="M22" s="56">
        <v>1</v>
      </c>
      <c r="N22" s="56">
        <v>20</v>
      </c>
      <c r="O22" s="56"/>
      <c r="P22" s="56">
        <v>1</v>
      </c>
      <c r="Q22" s="57">
        <v>200</v>
      </c>
      <c r="R22" s="60" t="str">
        <f>_xlfn.CONCAT("Atributo que contiene la informacion del ",C22," del objeto dominio ",B22,"  en el contexto de ",A4,".")</f>
        <v>Atributo que contiene la informacion del numeroZonaInmueble del objeto dominio   en el contexto de Contexto.</v>
      </c>
      <c r="S22" s="118"/>
    </row>
    <row r="23" spans="1:19" ht="15.6" thickTop="1" thickBot="1" x14ac:dyDescent="0.35">
      <c r="A23" s="133"/>
      <c r="B23" s="131"/>
      <c r="C23" s="55" t="s">
        <v>102</v>
      </c>
      <c r="D23" s="207" t="s">
        <v>99</v>
      </c>
      <c r="E23" s="56"/>
      <c r="F23" s="56"/>
      <c r="G23" s="56"/>
      <c r="H23" s="56"/>
      <c r="I23" s="56"/>
      <c r="J23" s="56"/>
      <c r="K23" s="56"/>
      <c r="L23" s="56"/>
      <c r="M23" s="56"/>
      <c r="N23" s="56"/>
      <c r="O23" s="56"/>
      <c r="P23" s="56"/>
      <c r="Q23" s="57"/>
      <c r="R23" s="60"/>
      <c r="S23" s="118"/>
    </row>
    <row r="24" spans="1:19" ht="15.6" thickTop="1" thickBot="1" x14ac:dyDescent="0.35">
      <c r="A24" s="133"/>
      <c r="B24" s="132"/>
      <c r="C24" s="55" t="s">
        <v>62</v>
      </c>
      <c r="D24" s="207" t="s">
        <v>61</v>
      </c>
      <c r="E24" s="56"/>
      <c r="F24" s="56"/>
      <c r="G24" s="56"/>
      <c r="H24" s="56"/>
      <c r="I24" s="56"/>
      <c r="J24" s="56"/>
      <c r="K24" s="56"/>
      <c r="L24" s="56"/>
      <c r="M24" s="56"/>
      <c r="N24" s="56"/>
      <c r="O24" s="56"/>
      <c r="P24" s="56"/>
      <c r="Q24" s="57"/>
      <c r="R24" s="60"/>
      <c r="S24" s="118"/>
    </row>
    <row r="25" spans="1:19" ht="30" thickTop="1" thickBot="1" x14ac:dyDescent="0.35">
      <c r="A25" s="133"/>
      <c r="B25" s="128" t="s">
        <v>99</v>
      </c>
      <c r="C25" s="64" t="s">
        <v>55</v>
      </c>
      <c r="D25" s="208" t="s">
        <v>56</v>
      </c>
      <c r="E25" s="65">
        <v>32</v>
      </c>
      <c r="F25" s="65">
        <v>32</v>
      </c>
      <c r="G25" s="65"/>
      <c r="H25" s="65"/>
      <c r="I25" s="65"/>
      <c r="J25" s="65" t="str">
        <f>_xlfn.CONCAT(C25,$B$25)</f>
        <v>identificadorTipoZonaInmueble</v>
      </c>
      <c r="K25" s="65" t="s">
        <v>59</v>
      </c>
      <c r="L25" s="65" t="s">
        <v>56</v>
      </c>
      <c r="M25" s="65">
        <v>32</v>
      </c>
      <c r="N25" s="65">
        <v>32</v>
      </c>
      <c r="O25" s="65"/>
      <c r="P25" s="65"/>
      <c r="Q25" s="66"/>
      <c r="R25" s="67" t="str">
        <f>_xlfn.CONCAT("Atributo que contiene la informacion del ",C25," del objeto dominio ",B25,"  en el contexto de ",A5,".")</f>
        <v>Atributo que contiene la informacion del identificador del objeto dominio TipoZonaInmueble  en el contexto de Conjuntos Residenciales.</v>
      </c>
      <c r="S25" s="118"/>
    </row>
    <row r="26" spans="1:19" ht="30" thickTop="1" thickBot="1" x14ac:dyDescent="0.35">
      <c r="A26" s="133"/>
      <c r="B26" s="129"/>
      <c r="C26" s="64" t="s">
        <v>57</v>
      </c>
      <c r="D26" s="208" t="s">
        <v>58</v>
      </c>
      <c r="E26" s="65">
        <v>1</v>
      </c>
      <c r="F26" s="65">
        <v>50</v>
      </c>
      <c r="G26" s="65"/>
      <c r="H26" s="65"/>
      <c r="I26" s="65"/>
      <c r="J26" s="65" t="str">
        <f>_xlfn.CONCAT(C26,$B$25)</f>
        <v>nombreTipoZonaInmueble</v>
      </c>
      <c r="K26" s="65" t="s">
        <v>59</v>
      </c>
      <c r="L26" s="65" t="s">
        <v>58</v>
      </c>
      <c r="M26" s="65">
        <v>1</v>
      </c>
      <c r="N26" s="65">
        <v>50</v>
      </c>
      <c r="O26" s="65"/>
      <c r="P26" s="65"/>
      <c r="Q26" s="66"/>
      <c r="R26" s="67" t="str">
        <f>_xlfn.CONCAT("Atributo que contiene la informacion del ",C26," del objeto dominio ",B26,"  en el contexto de ",A5,".")</f>
        <v>Atributo que contiene la informacion del nombre del objeto dominio   en el contexto de Conjuntos Residenciales.</v>
      </c>
      <c r="S26" s="118"/>
    </row>
    <row r="27" spans="1:19" ht="44.4" thickTop="1" thickBot="1" x14ac:dyDescent="0.35">
      <c r="A27" s="133"/>
      <c r="B27" s="154" t="s">
        <v>61</v>
      </c>
      <c r="C27" s="32" t="s">
        <v>55</v>
      </c>
      <c r="D27" s="209" t="s">
        <v>56</v>
      </c>
      <c r="E27" s="32">
        <v>32</v>
      </c>
      <c r="F27" s="32">
        <v>32</v>
      </c>
      <c r="G27" s="32"/>
      <c r="H27" s="32"/>
      <c r="I27" s="32"/>
      <c r="J27" s="32" t="str">
        <f>_xlfn.CONCAT(C19,$B$27)</f>
        <v>identificadorConjuntoResidencial</v>
      </c>
      <c r="K27" s="32" t="s">
        <v>59</v>
      </c>
      <c r="L27" s="32" t="s">
        <v>56</v>
      </c>
      <c r="M27" s="32">
        <v>32</v>
      </c>
      <c r="N27" s="32">
        <v>32</v>
      </c>
      <c r="O27" s="32"/>
      <c r="P27" s="32"/>
      <c r="Q27" s="54"/>
      <c r="R27" s="61" t="str">
        <f>_xlfn.CONCAT("Atributo que contiene la informacion del ",C27," del objeto dominio ",B27,"  en el contexto de ",A5,".")</f>
        <v>Atributo que contiene la informacion del identificador del objeto dominio ConjuntoResidencial  en el contexto de Conjuntos Residenciales.</v>
      </c>
      <c r="S27" s="118"/>
    </row>
    <row r="28" spans="1:19" ht="30" thickTop="1" thickBot="1" x14ac:dyDescent="0.35">
      <c r="A28" s="134"/>
      <c r="B28" s="154"/>
      <c r="C28" s="32" t="s">
        <v>57</v>
      </c>
      <c r="D28" s="209" t="s">
        <v>58</v>
      </c>
      <c r="E28" s="32">
        <v>1</v>
      </c>
      <c r="F28" s="32">
        <v>50</v>
      </c>
      <c r="G28" s="32"/>
      <c r="H28" s="32"/>
      <c r="I28" s="32"/>
      <c r="J28" s="32" t="str">
        <f>_xlfn.CONCAT(C20,$B$27)</f>
        <v>nombreConjuntoResidencial</v>
      </c>
      <c r="K28" s="32" t="s">
        <v>59</v>
      </c>
      <c r="L28" s="32" t="s">
        <v>58</v>
      </c>
      <c r="M28" s="32">
        <v>1</v>
      </c>
      <c r="N28" s="32">
        <v>50</v>
      </c>
      <c r="O28" s="32"/>
      <c r="P28" s="32"/>
      <c r="Q28" s="54"/>
      <c r="R28" s="61" t="str">
        <f>_xlfn.CONCAT("Atributo que contiene la informacion del ",C28," del objeto dominio ",B28,"  en el contexto de ",A5,".")</f>
        <v>Atributo que contiene la informacion del nombre del objeto dominio   en el contexto de Conjuntos Residenciales.</v>
      </c>
      <c r="S28" s="119"/>
    </row>
    <row r="35" spans="5:5" x14ac:dyDescent="0.3">
      <c r="E35" s="70"/>
    </row>
  </sheetData>
  <mergeCells count="14">
    <mergeCell ref="B1:S1"/>
    <mergeCell ref="A2:S2"/>
    <mergeCell ref="A3:I3"/>
    <mergeCell ref="J3:Q3"/>
    <mergeCell ref="R3:R4"/>
    <mergeCell ref="S3:S4"/>
    <mergeCell ref="B27:B28"/>
    <mergeCell ref="B19:B20"/>
    <mergeCell ref="B25:B26"/>
    <mergeCell ref="B21:B24"/>
    <mergeCell ref="B15:B18"/>
    <mergeCell ref="B5:B14"/>
    <mergeCell ref="A5:A28"/>
    <mergeCell ref="S5:S28"/>
  </mergeCells>
  <hyperlinks>
    <hyperlink ref="D18" location="'Residente ConjutosResidenciales'!B8" display="TipoInmueble" xr:uid="{7D0F26B2-16BB-4D32-9316-813C92F956E5}"/>
    <hyperlink ref="D23" location="'Conjuntos Residenciales'!B13" display="TipoZonaInmueble" xr:uid="{34181B3B-B9AE-4560-8F56-BDA0D6B05CD0}"/>
    <hyperlink ref="D24" location="'Conjuntos Residenciales'!B16" display="ConjuntoResidencial" xr:uid="{A2395E41-D8AC-474A-BE9C-32FCADDD0F2C}"/>
    <hyperlink ref="D17" location="'Conjuntos Residenciales'!B10" display="ZonaInmueble" xr:uid="{E001D96D-791E-43A6-B8BA-893283B14284}"/>
    <hyperlink ref="D14" location="'Conjuntos.R Residentes-0001'!B18" display="Inmueble" xr:uid="{ABDB1C96-86D5-49B8-9762-2546EB75E837}"/>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A1C796-BDF1-44E4-8EC8-5B53FD905390}">
  <dimension ref="A1:F9"/>
  <sheetViews>
    <sheetView workbookViewId="0">
      <selection activeCell="D8" sqref="D8"/>
    </sheetView>
  </sheetViews>
  <sheetFormatPr baseColWidth="10" defaultColWidth="11.44140625" defaultRowHeight="14.4" x14ac:dyDescent="0.3"/>
  <cols>
    <col min="1" max="1" width="22.5546875" style="13" bestFit="1" customWidth="1"/>
    <col min="2" max="2" width="22.33203125" style="13" bestFit="1" customWidth="1"/>
    <col min="3" max="3" width="24" style="13" bestFit="1" customWidth="1"/>
    <col min="4" max="5" width="38.33203125" style="13" bestFit="1" customWidth="1"/>
    <col min="6" max="6" width="64" style="13" bestFit="1" customWidth="1"/>
    <col min="7" max="16384" width="11.44140625" style="13"/>
  </cols>
  <sheetData>
    <row r="1" spans="1:6" x14ac:dyDescent="0.3">
      <c r="A1" s="12" t="s">
        <v>28</v>
      </c>
      <c r="B1" s="107" t="str">
        <f>Contextos!B12</f>
        <v>Agendas</v>
      </c>
      <c r="C1" s="107"/>
      <c r="D1" s="107"/>
      <c r="E1" s="107"/>
      <c r="F1" s="108"/>
    </row>
    <row r="2" spans="1:6" ht="38.25" customHeight="1" x14ac:dyDescent="0.3">
      <c r="A2" s="14" t="s">
        <v>29</v>
      </c>
      <c r="B2" s="109" t="str">
        <f>Contextos!D12</f>
        <v>Contexto cuya motivación es la de gestionar la estructura de la agenda que va a tener una zona común durante un un tiempo estimado y sus diferentes turnos.</v>
      </c>
      <c r="C2" s="109"/>
      <c r="D2" s="109"/>
      <c r="E2" s="109"/>
      <c r="F2" s="110"/>
    </row>
    <row r="3" spans="1:6" x14ac:dyDescent="0.3">
      <c r="A3" s="14" t="s">
        <v>3</v>
      </c>
      <c r="B3" s="111" t="str">
        <f>Contextos!A12</f>
        <v>Core/Básico</v>
      </c>
      <c r="C3" s="111"/>
      <c r="D3" s="111"/>
      <c r="E3" s="111"/>
      <c r="F3" s="112"/>
    </row>
    <row r="4" spans="1:6" x14ac:dyDescent="0.3">
      <c r="A4" s="113" t="s">
        <v>30</v>
      </c>
      <c r="B4" s="114"/>
      <c r="C4" s="114"/>
      <c r="D4" s="114"/>
      <c r="E4" s="114"/>
      <c r="F4" s="115"/>
    </row>
    <row r="5" spans="1:6" x14ac:dyDescent="0.3">
      <c r="A5" s="15" t="s">
        <v>31</v>
      </c>
      <c r="B5" s="16" t="s">
        <v>32</v>
      </c>
      <c r="C5" s="116" t="s">
        <v>33</v>
      </c>
      <c r="D5" s="116" t="s">
        <v>34</v>
      </c>
      <c r="E5" s="116"/>
      <c r="F5" s="117" t="s">
        <v>1</v>
      </c>
    </row>
    <row r="6" spans="1:6" x14ac:dyDescent="0.3">
      <c r="A6" s="15" t="s">
        <v>35</v>
      </c>
      <c r="B6" s="16" t="s">
        <v>36</v>
      </c>
      <c r="C6" s="116"/>
      <c r="D6" s="116"/>
      <c r="E6" s="116"/>
      <c r="F6" s="117"/>
    </row>
    <row r="7" spans="1:6" x14ac:dyDescent="0.3">
      <c r="A7" s="15" t="s">
        <v>37</v>
      </c>
      <c r="B7" s="16" t="s">
        <v>38</v>
      </c>
      <c r="C7" s="116"/>
      <c r="D7" s="16" t="s">
        <v>39</v>
      </c>
      <c r="E7" s="17" t="s">
        <v>4</v>
      </c>
      <c r="F7" s="117"/>
    </row>
    <row r="8" spans="1:6" ht="28.8" x14ac:dyDescent="0.3">
      <c r="A8" s="24" t="s">
        <v>103</v>
      </c>
      <c r="B8" s="23" t="s">
        <v>64</v>
      </c>
      <c r="C8" s="24" t="s">
        <v>20</v>
      </c>
      <c r="D8" s="45" t="str">
        <f>B8&amp;" "&amp;A8&amp;"-0001"</f>
        <v>Agenda ConjuntosResidenciales-0001</v>
      </c>
      <c r="E8" s="39" t="str">
        <f>_xlfn.CONCAT(A8," de ",B8)</f>
        <v>ConjuntosResidenciales de Agenda</v>
      </c>
      <c r="F8" s="25" t="s">
        <v>88</v>
      </c>
    </row>
    <row r="9" spans="1:6" ht="28.8" x14ac:dyDescent="0.3">
      <c r="A9" s="18" t="s">
        <v>64</v>
      </c>
      <c r="B9" s="18" t="s">
        <v>65</v>
      </c>
      <c r="C9" s="19" t="s">
        <v>20</v>
      </c>
      <c r="D9" s="37" t="str">
        <f>B9&amp;" "&amp;A9&amp;"-0001"</f>
        <v>Turno Agenda-0001</v>
      </c>
      <c r="E9" s="38" t="str">
        <f>_xlfn.CONCAT(A9," de ",B9)</f>
        <v>Agenda de Turno</v>
      </c>
      <c r="F9" s="22" t="s">
        <v>89</v>
      </c>
    </row>
  </sheetData>
  <mergeCells count="7">
    <mergeCell ref="B1:F1"/>
    <mergeCell ref="B2:F2"/>
    <mergeCell ref="B3:F3"/>
    <mergeCell ref="A4:F4"/>
    <mergeCell ref="C5:C7"/>
    <mergeCell ref="D5:E6"/>
    <mergeCell ref="F5:F7"/>
  </mergeCells>
  <hyperlinks>
    <hyperlink ref="D8" location="'AgendaZonaComun-0001'!A1" display="'AgendaZonaComun-0001'!A1" xr:uid="{A9ADF8B7-6557-4476-8138-EC858D70CB7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152987F-9E39-4903-BCD8-F1D7386E65E3}">
          <x14:formula1>
            <xm:f>Valores!$A$7:$A$13</xm:f>
          </x14:formula1>
          <xm:sqref>C8:C9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C7A5B2-A8EA-4155-AEAF-F8A5FDEA4D7E}">
  <dimension ref="A1:S30"/>
  <sheetViews>
    <sheetView zoomScale="46" workbookViewId="0">
      <selection activeCell="N32" sqref="N32"/>
    </sheetView>
  </sheetViews>
  <sheetFormatPr baseColWidth="10" defaultColWidth="11.44140625" defaultRowHeight="14.4" x14ac:dyDescent="0.3"/>
  <cols>
    <col min="1" max="1" width="14.5546875" style="13" customWidth="1"/>
    <col min="2" max="2" width="19.88671875" style="13" customWidth="1"/>
    <col min="3" max="3" width="23.44140625" style="13" bestFit="1" customWidth="1"/>
    <col min="4" max="4" width="19.44140625" style="13" bestFit="1" customWidth="1"/>
    <col min="5" max="5" width="16.109375" style="13" bestFit="1" customWidth="1"/>
    <col min="6" max="6" width="16.44140625" style="13" bestFit="1" customWidth="1"/>
    <col min="7" max="7" width="9.44140625" style="13" bestFit="1" customWidth="1"/>
    <col min="8" max="8" width="12.5546875" style="13" bestFit="1" customWidth="1"/>
    <col min="9" max="9" width="12" style="13" bestFit="1" customWidth="1"/>
    <col min="10" max="10" width="31" style="13" bestFit="1" customWidth="1"/>
    <col min="11" max="11" width="23.5546875" style="13" bestFit="1" customWidth="1"/>
    <col min="12" max="12" width="16.5546875" style="13" bestFit="1" customWidth="1"/>
    <col min="13" max="13" width="16.109375" style="13" bestFit="1" customWidth="1"/>
    <col min="14" max="14" width="16.44140625" style="13" bestFit="1" customWidth="1"/>
    <col min="15" max="15" width="9.44140625" style="13" bestFit="1" customWidth="1"/>
    <col min="16" max="16" width="12.5546875" style="13" bestFit="1" customWidth="1"/>
    <col min="17" max="17" width="12" style="13" bestFit="1" customWidth="1"/>
    <col min="18" max="18" width="58" style="26" customWidth="1"/>
    <col min="19" max="19" width="17.109375" style="13" bestFit="1" customWidth="1"/>
    <col min="20" max="16384" width="11.44140625" style="13"/>
  </cols>
  <sheetData>
    <row r="1" spans="1:19" x14ac:dyDescent="0.3">
      <c r="A1" s="12" t="s">
        <v>39</v>
      </c>
      <c r="B1" s="120" t="str">
        <f>Agendas!D9</f>
        <v>Turno Agenda-0001</v>
      </c>
      <c r="C1" s="120"/>
      <c r="D1" s="120"/>
      <c r="E1" s="120"/>
      <c r="F1" s="120"/>
      <c r="G1" s="120"/>
      <c r="H1" s="120"/>
      <c r="I1" s="120"/>
      <c r="J1" s="120"/>
      <c r="K1" s="120"/>
      <c r="L1" s="120"/>
      <c r="M1" s="120"/>
      <c r="N1" s="120"/>
      <c r="O1" s="120"/>
      <c r="P1" s="120"/>
      <c r="Q1" s="120"/>
      <c r="R1" s="120"/>
      <c r="S1" s="121"/>
    </row>
    <row r="2" spans="1:19" x14ac:dyDescent="0.3">
      <c r="A2" s="113"/>
      <c r="B2" s="114"/>
      <c r="C2" s="114"/>
      <c r="D2" s="114"/>
      <c r="E2" s="114"/>
      <c r="F2" s="114"/>
      <c r="G2" s="114"/>
      <c r="H2" s="114"/>
      <c r="I2" s="114"/>
      <c r="J2" s="114"/>
      <c r="K2" s="114"/>
      <c r="L2" s="114"/>
      <c r="M2" s="114"/>
      <c r="N2" s="114"/>
      <c r="O2" s="114"/>
      <c r="P2" s="114"/>
      <c r="Q2" s="114"/>
      <c r="R2" s="114"/>
      <c r="S2" s="115"/>
    </row>
    <row r="3" spans="1:19" x14ac:dyDescent="0.3">
      <c r="A3" s="123" t="s">
        <v>42</v>
      </c>
      <c r="B3" s="124"/>
      <c r="C3" s="124"/>
      <c r="D3" s="124"/>
      <c r="E3" s="124"/>
      <c r="F3" s="124"/>
      <c r="G3" s="124"/>
      <c r="H3" s="124"/>
      <c r="I3" s="124"/>
      <c r="J3" s="124" t="s">
        <v>43</v>
      </c>
      <c r="K3" s="124"/>
      <c r="L3" s="124"/>
      <c r="M3" s="124"/>
      <c r="N3" s="124"/>
      <c r="O3" s="124"/>
      <c r="P3" s="124"/>
      <c r="Q3" s="124"/>
      <c r="R3" s="148" t="s">
        <v>29</v>
      </c>
      <c r="S3" s="150" t="s">
        <v>44</v>
      </c>
    </row>
    <row r="4" spans="1:19" ht="15" thickBot="1" x14ac:dyDescent="0.35">
      <c r="A4" s="29" t="s">
        <v>28</v>
      </c>
      <c r="B4" s="30" t="s">
        <v>45</v>
      </c>
      <c r="C4" s="30" t="s">
        <v>46</v>
      </c>
      <c r="D4" s="30" t="s">
        <v>47</v>
      </c>
      <c r="E4" s="30" t="s">
        <v>48</v>
      </c>
      <c r="F4" s="30" t="s">
        <v>49</v>
      </c>
      <c r="G4" s="30" t="s">
        <v>50</v>
      </c>
      <c r="H4" s="30" t="s">
        <v>51</v>
      </c>
      <c r="I4" s="30" t="s">
        <v>52</v>
      </c>
      <c r="J4" s="30" t="s">
        <v>53</v>
      </c>
      <c r="K4" s="30" t="s">
        <v>54</v>
      </c>
      <c r="L4" s="30" t="s">
        <v>47</v>
      </c>
      <c r="M4" s="30" t="s">
        <v>48</v>
      </c>
      <c r="N4" s="30" t="s">
        <v>49</v>
      </c>
      <c r="O4" s="30" t="s">
        <v>50</v>
      </c>
      <c r="P4" s="30" t="s">
        <v>51</v>
      </c>
      <c r="Q4" s="30" t="s">
        <v>52</v>
      </c>
      <c r="R4" s="149"/>
      <c r="S4" s="151"/>
    </row>
    <row r="5" spans="1:19" ht="28.95" customHeight="1" thickBot="1" x14ac:dyDescent="0.35">
      <c r="A5" s="170" t="s">
        <v>83</v>
      </c>
      <c r="B5" s="171" t="s">
        <v>65</v>
      </c>
      <c r="C5" s="172" t="s">
        <v>55</v>
      </c>
      <c r="D5" s="172" t="s">
        <v>137</v>
      </c>
      <c r="E5" s="172">
        <v>32</v>
      </c>
      <c r="F5" s="172">
        <v>32</v>
      </c>
      <c r="G5" s="172"/>
      <c r="H5" s="172"/>
      <c r="I5" s="172"/>
      <c r="J5" s="172" t="str">
        <f>_xlfn.CONCAT(C5,$B$5)</f>
        <v>identificadorTurno</v>
      </c>
      <c r="K5" s="173" t="s">
        <v>59</v>
      </c>
      <c r="L5" s="173" t="s">
        <v>137</v>
      </c>
      <c r="M5" s="173">
        <v>32</v>
      </c>
      <c r="N5" s="173">
        <v>32</v>
      </c>
      <c r="O5" s="173"/>
      <c r="P5" s="173"/>
      <c r="Q5" s="173"/>
      <c r="R5" s="174" t="s">
        <v>138</v>
      </c>
      <c r="S5" s="175" t="s">
        <v>65</v>
      </c>
    </row>
    <row r="6" spans="1:19" ht="30.6" customHeight="1" thickBot="1" x14ac:dyDescent="0.35">
      <c r="A6" s="170"/>
      <c r="B6" s="171"/>
      <c r="C6" s="176" t="s">
        <v>129</v>
      </c>
      <c r="D6" s="172" t="s">
        <v>58</v>
      </c>
      <c r="E6" s="172">
        <v>1</v>
      </c>
      <c r="F6" s="172">
        <v>50</v>
      </c>
      <c r="G6" s="172"/>
      <c r="H6" s="172"/>
      <c r="I6" s="172"/>
      <c r="J6" s="172" t="str">
        <f t="shared" ref="J6:J10" si="0">_xlfn.CONCAT(C6,$B$5)</f>
        <v>numeroTurnoTurno</v>
      </c>
      <c r="K6" s="173" t="s">
        <v>59</v>
      </c>
      <c r="L6" s="173" t="s">
        <v>58</v>
      </c>
      <c r="M6" s="173">
        <v>1</v>
      </c>
      <c r="N6" s="173">
        <v>50</v>
      </c>
      <c r="O6" s="173"/>
      <c r="P6" s="173"/>
      <c r="Q6" s="173"/>
      <c r="R6" s="174" t="s">
        <v>139</v>
      </c>
      <c r="S6" s="175"/>
    </row>
    <row r="7" spans="1:19" ht="30.6" customHeight="1" thickBot="1" x14ac:dyDescent="0.35">
      <c r="A7" s="170"/>
      <c r="B7" s="171"/>
      <c r="C7" s="172" t="s">
        <v>130</v>
      </c>
      <c r="D7" s="172" t="s">
        <v>131</v>
      </c>
      <c r="E7" s="172"/>
      <c r="F7" s="172"/>
      <c r="G7" s="172"/>
      <c r="H7" s="172"/>
      <c r="I7" s="172"/>
      <c r="J7" s="172" t="str">
        <f t="shared" si="0"/>
        <v>horaInicioTurno</v>
      </c>
      <c r="K7" s="173" t="s">
        <v>59</v>
      </c>
      <c r="L7" s="173" t="s">
        <v>131</v>
      </c>
      <c r="M7" s="173"/>
      <c r="N7" s="173"/>
      <c r="O7" s="173"/>
      <c r="P7" s="173"/>
      <c r="Q7" s="173"/>
      <c r="R7" s="174" t="s">
        <v>140</v>
      </c>
      <c r="S7" s="175"/>
    </row>
    <row r="8" spans="1:19" ht="30.6" customHeight="1" thickBot="1" x14ac:dyDescent="0.35">
      <c r="A8" s="170"/>
      <c r="B8" s="171"/>
      <c r="C8" s="172" t="s">
        <v>132</v>
      </c>
      <c r="D8" s="172" t="s">
        <v>131</v>
      </c>
      <c r="E8" s="172"/>
      <c r="F8" s="172"/>
      <c r="G8" s="172"/>
      <c r="H8" s="172"/>
      <c r="I8" s="172"/>
      <c r="J8" s="172" t="str">
        <f t="shared" si="0"/>
        <v>horaFinTurno</v>
      </c>
      <c r="K8" s="173" t="s">
        <v>59</v>
      </c>
      <c r="L8" s="173" t="s">
        <v>131</v>
      </c>
      <c r="M8" s="173"/>
      <c r="N8" s="173"/>
      <c r="O8" s="173"/>
      <c r="P8" s="173"/>
      <c r="Q8" s="173"/>
      <c r="R8" s="174" t="s">
        <v>141</v>
      </c>
      <c r="S8" s="175"/>
    </row>
    <row r="9" spans="1:19" ht="30.6" customHeight="1" thickBot="1" x14ac:dyDescent="0.35">
      <c r="A9" s="170"/>
      <c r="B9" s="171"/>
      <c r="C9" s="172" t="s">
        <v>133</v>
      </c>
      <c r="D9" s="172" t="s">
        <v>134</v>
      </c>
      <c r="E9" s="172"/>
      <c r="F9" s="172"/>
      <c r="G9" s="172"/>
      <c r="H9" s="172"/>
      <c r="I9" s="172"/>
      <c r="J9" s="172" t="str">
        <f t="shared" si="0"/>
        <v>estadoTurno</v>
      </c>
      <c r="K9" s="173" t="s">
        <v>59</v>
      </c>
      <c r="L9" s="173" t="s">
        <v>134</v>
      </c>
      <c r="M9" s="173"/>
      <c r="N9" s="173"/>
      <c r="O9" s="173"/>
      <c r="P9" s="173"/>
      <c r="Q9" s="173"/>
      <c r="R9" s="174" t="s">
        <v>142</v>
      </c>
      <c r="S9" s="175"/>
    </row>
    <row r="10" spans="1:19" ht="27" customHeight="1" thickBot="1" x14ac:dyDescent="0.35">
      <c r="A10" s="170"/>
      <c r="B10" s="171"/>
      <c r="C10" s="177" t="s">
        <v>110</v>
      </c>
      <c r="D10" s="178" t="s">
        <v>64</v>
      </c>
      <c r="E10" s="172"/>
      <c r="F10" s="172"/>
      <c r="G10" s="172"/>
      <c r="H10" s="172"/>
      <c r="I10" s="172"/>
      <c r="J10" s="172" t="str">
        <f>_xlfn.CONCAT(C10,$B$5)</f>
        <v>agendaTurno</v>
      </c>
      <c r="K10" s="173" t="s">
        <v>59</v>
      </c>
      <c r="L10" s="173" t="s">
        <v>64</v>
      </c>
      <c r="M10" s="173"/>
      <c r="N10" s="173"/>
      <c r="O10" s="173"/>
      <c r="P10" s="173"/>
      <c r="Q10" s="173"/>
      <c r="R10" s="174" t="s">
        <v>143</v>
      </c>
      <c r="S10" s="175"/>
    </row>
    <row r="11" spans="1:19" ht="15" thickBot="1" x14ac:dyDescent="0.35">
      <c r="A11" s="170"/>
      <c r="B11" s="179" t="s">
        <v>64</v>
      </c>
      <c r="C11" s="169" t="s">
        <v>55</v>
      </c>
      <c r="D11" s="169" t="s">
        <v>137</v>
      </c>
      <c r="E11" s="169">
        <v>32</v>
      </c>
      <c r="F11" s="169">
        <v>32</v>
      </c>
      <c r="G11" s="169"/>
      <c r="H11" s="169"/>
      <c r="I11" s="169"/>
      <c r="J11" s="169" t="str">
        <f>_xlfn.CONCAT(C11,$B$11)</f>
        <v>identificadorAgenda</v>
      </c>
      <c r="K11" s="169" t="s">
        <v>59</v>
      </c>
      <c r="L11" s="169" t="s">
        <v>137</v>
      </c>
      <c r="M11" s="169">
        <v>32</v>
      </c>
      <c r="N11" s="169">
        <v>32</v>
      </c>
      <c r="O11" s="169"/>
      <c r="P11" s="169"/>
      <c r="Q11" s="169"/>
      <c r="R11" s="169" t="s">
        <v>145</v>
      </c>
      <c r="S11" s="175"/>
    </row>
    <row r="12" spans="1:19" ht="29.4" thickBot="1" x14ac:dyDescent="0.35">
      <c r="A12" s="170"/>
      <c r="B12" s="179"/>
      <c r="C12" s="169" t="s">
        <v>57</v>
      </c>
      <c r="D12" s="169" t="s">
        <v>58</v>
      </c>
      <c r="E12" s="169">
        <v>1</v>
      </c>
      <c r="F12" s="169">
        <v>50</v>
      </c>
      <c r="G12" s="169"/>
      <c r="H12" s="169"/>
      <c r="I12" s="169"/>
      <c r="J12" s="169" t="str">
        <f t="shared" ref="J12:J16" si="1">_xlfn.CONCAT(C12,$B$11)</f>
        <v>nombreAgenda</v>
      </c>
      <c r="K12" s="169" t="s">
        <v>59</v>
      </c>
      <c r="L12" s="169" t="s">
        <v>58</v>
      </c>
      <c r="M12" s="169">
        <v>1</v>
      </c>
      <c r="N12" s="169">
        <v>50</v>
      </c>
      <c r="O12" s="169"/>
      <c r="P12" s="169"/>
      <c r="Q12" s="169"/>
      <c r="R12" s="180" t="s">
        <v>146</v>
      </c>
      <c r="S12" s="175"/>
    </row>
    <row r="13" spans="1:19" ht="29.4" thickBot="1" x14ac:dyDescent="0.35">
      <c r="A13" s="170"/>
      <c r="B13" s="179"/>
      <c r="C13" s="169" t="s">
        <v>144</v>
      </c>
      <c r="D13" s="169" t="s">
        <v>134</v>
      </c>
      <c r="E13" s="169"/>
      <c r="F13" s="169"/>
      <c r="G13" s="169"/>
      <c r="H13" s="169"/>
      <c r="I13" s="169"/>
      <c r="J13" s="169" t="str">
        <f t="shared" si="1"/>
        <v>disponibilidadAgenda</v>
      </c>
      <c r="K13" s="169" t="s">
        <v>59</v>
      </c>
      <c r="L13" s="169" t="s">
        <v>134</v>
      </c>
      <c r="M13" s="169"/>
      <c r="N13" s="169"/>
      <c r="O13" s="169"/>
      <c r="P13" s="169"/>
      <c r="Q13" s="169"/>
      <c r="R13" s="180" t="s">
        <v>147</v>
      </c>
      <c r="S13" s="175"/>
    </row>
    <row r="14" spans="1:19" ht="29.4" thickBot="1" x14ac:dyDescent="0.35">
      <c r="A14" s="170"/>
      <c r="B14" s="179"/>
      <c r="C14" s="169" t="s">
        <v>90</v>
      </c>
      <c r="D14" s="169" t="s">
        <v>131</v>
      </c>
      <c r="E14" s="169"/>
      <c r="F14" s="169"/>
      <c r="G14" s="169"/>
      <c r="H14" s="169"/>
      <c r="I14" s="169"/>
      <c r="J14" s="169" t="str">
        <f t="shared" si="1"/>
        <v>fechaHoraInicioAgenda</v>
      </c>
      <c r="K14" s="169" t="s">
        <v>59</v>
      </c>
      <c r="L14" s="169" t="s">
        <v>131</v>
      </c>
      <c r="M14" s="169"/>
      <c r="N14" s="169"/>
      <c r="O14" s="169"/>
      <c r="P14" s="191"/>
      <c r="Q14" s="169"/>
      <c r="R14" s="180" t="s">
        <v>148</v>
      </c>
      <c r="S14" s="175"/>
    </row>
    <row r="15" spans="1:19" ht="28.2" customHeight="1" thickBot="1" x14ac:dyDescent="0.35">
      <c r="A15" s="170"/>
      <c r="B15" s="179"/>
      <c r="C15" s="169" t="s">
        <v>94</v>
      </c>
      <c r="D15" s="169" t="s">
        <v>131</v>
      </c>
      <c r="E15" s="169"/>
      <c r="F15" s="169"/>
      <c r="G15" s="169"/>
      <c r="H15" s="169"/>
      <c r="I15" s="169"/>
      <c r="J15" s="169" t="str">
        <f t="shared" si="1"/>
        <v>fechaHoraFinAgenda</v>
      </c>
      <c r="K15" s="169" t="s">
        <v>59</v>
      </c>
      <c r="L15" s="169" t="s">
        <v>131</v>
      </c>
      <c r="M15" s="169"/>
      <c r="N15" s="169"/>
      <c r="O15" s="169"/>
      <c r="P15" s="169"/>
      <c r="Q15" s="169"/>
      <c r="R15" s="169" t="s">
        <v>149</v>
      </c>
      <c r="S15" s="175"/>
    </row>
    <row r="16" spans="1:19" ht="33" customHeight="1" thickBot="1" x14ac:dyDescent="0.35">
      <c r="A16" s="170"/>
      <c r="B16" s="179"/>
      <c r="C16" s="169" t="s">
        <v>109</v>
      </c>
      <c r="D16" s="192" t="s">
        <v>41</v>
      </c>
      <c r="E16" s="169"/>
      <c r="F16" s="169"/>
      <c r="G16" s="169"/>
      <c r="H16" s="169"/>
      <c r="I16" s="169"/>
      <c r="J16" s="169" t="str">
        <f t="shared" si="1"/>
        <v>zonaComunAgenda</v>
      </c>
      <c r="K16" s="169" t="s">
        <v>59</v>
      </c>
      <c r="L16" s="169" t="s">
        <v>41</v>
      </c>
      <c r="M16" s="169"/>
      <c r="N16" s="169"/>
      <c r="O16" s="169"/>
      <c r="P16" s="169"/>
      <c r="Q16" s="169"/>
      <c r="R16" s="180" t="s">
        <v>150</v>
      </c>
      <c r="S16" s="175"/>
    </row>
    <row r="17" spans="1:19" ht="29.4" thickBot="1" x14ac:dyDescent="0.35">
      <c r="A17" s="170"/>
      <c r="B17" s="181" t="s">
        <v>41</v>
      </c>
      <c r="C17" s="182" t="s">
        <v>55</v>
      </c>
      <c r="D17" s="182" t="s">
        <v>56</v>
      </c>
      <c r="E17" s="182">
        <v>32</v>
      </c>
      <c r="F17" s="182">
        <v>32</v>
      </c>
      <c r="G17" s="182"/>
      <c r="H17" s="182"/>
      <c r="I17" s="182"/>
      <c r="J17" s="182" t="str">
        <f>_xlfn.CONCAT(C17,$B$17)</f>
        <v>identificadorZonaComun</v>
      </c>
      <c r="K17" s="182" t="s">
        <v>59</v>
      </c>
      <c r="L17" s="182" t="s">
        <v>56</v>
      </c>
      <c r="M17" s="182">
        <v>32</v>
      </c>
      <c r="N17" s="182">
        <v>32</v>
      </c>
      <c r="O17" s="182"/>
      <c r="P17" s="182"/>
      <c r="Q17" s="182"/>
      <c r="R17" s="183" t="str">
        <f>_xlfn.CONCAT("Atributo que contiene la informacion del ",C17," del objeto dominio ",B17,"  en el contexto de ",$A$5,".")</f>
        <v>Atributo que contiene la informacion del identificador del objeto dominio ZonaComun  en el contexto de Agendas.</v>
      </c>
      <c r="S17" s="175"/>
    </row>
    <row r="18" spans="1:19" ht="29.4" thickBot="1" x14ac:dyDescent="0.35">
      <c r="A18" s="170"/>
      <c r="B18" s="181"/>
      <c r="C18" s="182" t="s">
        <v>4</v>
      </c>
      <c r="D18" s="182" t="s">
        <v>58</v>
      </c>
      <c r="E18" s="182">
        <v>3</v>
      </c>
      <c r="F18" s="182">
        <v>50</v>
      </c>
      <c r="G18" s="182"/>
      <c r="H18" s="182"/>
      <c r="I18" s="182"/>
      <c r="J18" s="182" t="str">
        <f t="shared" ref="J18:J30" si="2">_xlfn.CONCAT(C18,$B$17)</f>
        <v>NombreZonaComun</v>
      </c>
      <c r="K18" s="182" t="s">
        <v>59</v>
      </c>
      <c r="L18" s="182" t="s">
        <v>58</v>
      </c>
      <c r="M18" s="182">
        <v>3</v>
      </c>
      <c r="N18" s="182">
        <v>50</v>
      </c>
      <c r="O18" s="182"/>
      <c r="P18" s="182"/>
      <c r="Q18" s="182"/>
      <c r="R18" s="183" t="str">
        <f t="shared" ref="R18:R22" si="3">_xlfn.CONCAT("Atributo que contiene la informacion del ",C18," del objeto dominio ",B18,"  en el contexto de ",$A$5,".")</f>
        <v>Atributo que contiene la informacion del Nombre del objeto dominio   en el contexto de Agendas.</v>
      </c>
      <c r="S18" s="175"/>
    </row>
    <row r="19" spans="1:19" ht="29.4" thickBot="1" x14ac:dyDescent="0.35">
      <c r="A19" s="170"/>
      <c r="B19" s="181"/>
      <c r="C19" s="182" t="s">
        <v>95</v>
      </c>
      <c r="D19" s="182" t="s">
        <v>93</v>
      </c>
      <c r="E19" s="182">
        <v>1</v>
      </c>
      <c r="F19" s="182">
        <v>4</v>
      </c>
      <c r="G19" s="182"/>
      <c r="H19" s="182"/>
      <c r="I19" s="182"/>
      <c r="J19" s="182" t="str">
        <f t="shared" si="2"/>
        <v>capacidadPersonasZonaComun</v>
      </c>
      <c r="K19" s="182" t="s">
        <v>59</v>
      </c>
      <c r="L19" s="182" t="s">
        <v>93</v>
      </c>
      <c r="M19" s="182">
        <v>1</v>
      </c>
      <c r="N19" s="182">
        <v>4</v>
      </c>
      <c r="O19" s="182"/>
      <c r="P19" s="182"/>
      <c r="Q19" s="182"/>
      <c r="R19" s="183" t="str">
        <f t="shared" si="3"/>
        <v>Atributo que contiene la informacion del capacidadPersonas del objeto dominio   en el contexto de Agendas.</v>
      </c>
      <c r="S19" s="175"/>
    </row>
    <row r="20" spans="1:19" ht="29.4" thickBot="1" x14ac:dyDescent="0.35">
      <c r="A20" s="170"/>
      <c r="B20" s="181"/>
      <c r="C20" s="182" t="s">
        <v>108</v>
      </c>
      <c r="D20" s="182" t="s">
        <v>58</v>
      </c>
      <c r="E20" s="182">
        <v>0</v>
      </c>
      <c r="F20" s="182">
        <v>255</v>
      </c>
      <c r="G20" s="182"/>
      <c r="H20" s="182"/>
      <c r="I20" s="182"/>
      <c r="J20" s="182" t="str">
        <f t="shared" si="2"/>
        <v>descripcionZonaComun</v>
      </c>
      <c r="K20" s="182" t="s">
        <v>59</v>
      </c>
      <c r="L20" s="182" t="s">
        <v>58</v>
      </c>
      <c r="M20" s="182">
        <v>0</v>
      </c>
      <c r="N20" s="182">
        <v>255</v>
      </c>
      <c r="O20" s="182"/>
      <c r="P20" s="182"/>
      <c r="Q20" s="182"/>
      <c r="R20" s="183" t="str">
        <f t="shared" si="3"/>
        <v>Atributo que contiene la informacion del descripcion del objeto dominio   en el contexto de Agendas.</v>
      </c>
      <c r="S20" s="175"/>
    </row>
    <row r="21" spans="1:19" ht="29.4" thickBot="1" x14ac:dyDescent="0.35">
      <c r="A21" s="170"/>
      <c r="B21" s="181"/>
      <c r="C21" s="182" t="s">
        <v>136</v>
      </c>
      <c r="D21" s="182" t="s">
        <v>58</v>
      </c>
      <c r="E21" s="182">
        <v>0</v>
      </c>
      <c r="F21" s="182">
        <v>5000</v>
      </c>
      <c r="G21" s="182"/>
      <c r="H21" s="182"/>
      <c r="I21" s="182"/>
      <c r="J21" s="182" t="str">
        <f t="shared" si="2"/>
        <v>normasZonaComun</v>
      </c>
      <c r="K21" s="182" t="s">
        <v>59</v>
      </c>
      <c r="L21" s="182" t="s">
        <v>58</v>
      </c>
      <c r="M21" s="182">
        <v>0</v>
      </c>
      <c r="N21" s="182">
        <v>5000</v>
      </c>
      <c r="O21" s="182"/>
      <c r="P21" s="182"/>
      <c r="Q21" s="182"/>
      <c r="R21" s="183" t="str">
        <f t="shared" si="3"/>
        <v>Atributo que contiene la informacion del normas del objeto dominio   en el contexto de Agendas.</v>
      </c>
      <c r="S21" s="175"/>
    </row>
    <row r="22" spans="1:19" ht="29.4" thickBot="1" x14ac:dyDescent="0.35">
      <c r="A22" s="170"/>
      <c r="B22" s="181"/>
      <c r="C22" s="182" t="s">
        <v>96</v>
      </c>
      <c r="D22" s="182" t="s">
        <v>93</v>
      </c>
      <c r="E22" s="182">
        <v>1</v>
      </c>
      <c r="F22" s="182">
        <v>5</v>
      </c>
      <c r="G22" s="182"/>
      <c r="H22" s="182">
        <v>0</v>
      </c>
      <c r="I22" s="182">
        <v>3600</v>
      </c>
      <c r="J22" s="182" t="str">
        <f t="shared" si="2"/>
        <v>tiempoUsoZonaComun</v>
      </c>
      <c r="K22" s="182" t="s">
        <v>59</v>
      </c>
      <c r="L22" s="182" t="s">
        <v>93</v>
      </c>
      <c r="M22" s="182">
        <v>1</v>
      </c>
      <c r="N22" s="182">
        <v>5</v>
      </c>
      <c r="O22" s="182"/>
      <c r="P22" s="182">
        <v>0</v>
      </c>
      <c r="Q22" s="182">
        <v>3600</v>
      </c>
      <c r="R22" s="183" t="str">
        <f t="shared" si="3"/>
        <v>Atributo que contiene la informacion del tiempoUso del objeto dominio   en el contexto de Agendas.</v>
      </c>
      <c r="S22" s="175"/>
    </row>
    <row r="23" spans="1:19" ht="15" thickBot="1" x14ac:dyDescent="0.35">
      <c r="A23" s="170"/>
      <c r="B23" s="181"/>
      <c r="C23" s="182" t="s">
        <v>97</v>
      </c>
      <c r="D23" s="184" t="s">
        <v>104</v>
      </c>
      <c r="E23" s="182"/>
      <c r="F23" s="182"/>
      <c r="G23" s="182"/>
      <c r="H23" s="182"/>
      <c r="I23" s="182"/>
      <c r="J23" s="182"/>
      <c r="K23" s="182"/>
      <c r="L23" s="182"/>
      <c r="M23" s="182"/>
      <c r="N23" s="182"/>
      <c r="O23" s="182"/>
      <c r="P23" s="182"/>
      <c r="Q23" s="182"/>
      <c r="R23" s="183"/>
      <c r="S23" s="175"/>
    </row>
    <row r="24" spans="1:19" ht="15" thickBot="1" x14ac:dyDescent="0.35">
      <c r="A24" s="170"/>
      <c r="B24" s="181"/>
      <c r="C24" s="182" t="s">
        <v>62</v>
      </c>
      <c r="D24" s="184" t="s">
        <v>61</v>
      </c>
      <c r="E24" s="182"/>
      <c r="F24" s="182"/>
      <c r="G24" s="182"/>
      <c r="H24" s="182"/>
      <c r="I24" s="182"/>
      <c r="J24" s="182"/>
      <c r="K24" s="182"/>
      <c r="L24" s="182"/>
      <c r="M24" s="182"/>
      <c r="N24" s="182"/>
      <c r="O24" s="182"/>
      <c r="P24" s="182"/>
      <c r="Q24" s="182"/>
      <c r="R24" s="183"/>
      <c r="S24" s="175"/>
    </row>
    <row r="25" spans="1:19" ht="29.4" thickBot="1" x14ac:dyDescent="0.35">
      <c r="A25" s="170"/>
      <c r="B25" s="185" t="s">
        <v>104</v>
      </c>
      <c r="C25" s="186" t="s">
        <v>55</v>
      </c>
      <c r="D25" s="186" t="s">
        <v>56</v>
      </c>
      <c r="E25" s="186">
        <v>32</v>
      </c>
      <c r="F25" s="186">
        <v>32</v>
      </c>
      <c r="G25" s="186"/>
      <c r="H25" s="186"/>
      <c r="I25" s="186"/>
      <c r="J25" s="186" t="str">
        <f>_xlfn.CONCAT(C25,$B$25)</f>
        <v>identificadorUnidadTiempoUso</v>
      </c>
      <c r="K25" s="186" t="s">
        <v>59</v>
      </c>
      <c r="L25" s="186" t="s">
        <v>56</v>
      </c>
      <c r="M25" s="186">
        <v>32</v>
      </c>
      <c r="N25" s="186">
        <v>32</v>
      </c>
      <c r="O25" s="186"/>
      <c r="P25" s="186"/>
      <c r="Q25" s="186"/>
      <c r="R25" s="187" t="str">
        <f>_xlfn.CONCAT("Atributo que contiene la informacion del ",C25," del objeto dominio ",B25,"  en el contexto de ",$A$5,".")</f>
        <v>Atributo que contiene la informacion del identificador del objeto dominio UnidadTiempoUso  en el contexto de Agendas.</v>
      </c>
      <c r="S25" s="175"/>
    </row>
    <row r="26" spans="1:19" ht="29.4" thickBot="1" x14ac:dyDescent="0.35">
      <c r="A26" s="170"/>
      <c r="B26" s="185"/>
      <c r="C26" s="186" t="s">
        <v>57</v>
      </c>
      <c r="D26" s="186" t="s">
        <v>58</v>
      </c>
      <c r="E26" s="186">
        <v>3</v>
      </c>
      <c r="F26" s="186">
        <v>50</v>
      </c>
      <c r="G26" s="186"/>
      <c r="H26" s="186"/>
      <c r="I26" s="186"/>
      <c r="J26" s="186" t="str">
        <f t="shared" ref="J26:J28" si="4">_xlfn.CONCAT(C26,$B$25)</f>
        <v>nombreUnidadTiempoUso</v>
      </c>
      <c r="K26" s="186" t="s">
        <v>59</v>
      </c>
      <c r="L26" s="186" t="s">
        <v>58</v>
      </c>
      <c r="M26" s="186">
        <v>3</v>
      </c>
      <c r="N26" s="186">
        <v>50</v>
      </c>
      <c r="O26" s="186"/>
      <c r="P26" s="186"/>
      <c r="Q26" s="186"/>
      <c r="R26" s="187" t="str">
        <f t="shared" ref="R26:R28" si="5">_xlfn.CONCAT("Atributo que contiene la informacion del ",C26," del objeto dominio ",B26,"  en el contexto de ",$A$5,".")</f>
        <v>Atributo que contiene la informacion del nombre del objeto dominio   en el contexto de Agendas.</v>
      </c>
      <c r="S26" s="175"/>
    </row>
    <row r="27" spans="1:19" ht="29.4" thickBot="1" x14ac:dyDescent="0.35">
      <c r="A27" s="170"/>
      <c r="B27" s="185"/>
      <c r="C27" s="186" t="s">
        <v>105</v>
      </c>
      <c r="D27" s="186" t="s">
        <v>58</v>
      </c>
      <c r="E27" s="186">
        <v>1</v>
      </c>
      <c r="F27" s="186">
        <v>3</v>
      </c>
      <c r="G27" s="186"/>
      <c r="H27" s="186"/>
      <c r="I27" s="186"/>
      <c r="J27" s="186" t="str">
        <f t="shared" si="4"/>
        <v>abreviaturaUnidadTiempoUso</v>
      </c>
      <c r="K27" s="186" t="s">
        <v>59</v>
      </c>
      <c r="L27" s="186" t="s">
        <v>58</v>
      </c>
      <c r="M27" s="186">
        <v>1</v>
      </c>
      <c r="N27" s="186">
        <v>3</v>
      </c>
      <c r="O27" s="186"/>
      <c r="P27" s="186"/>
      <c r="Q27" s="186"/>
      <c r="R27" s="187" t="str">
        <f t="shared" si="5"/>
        <v>Atributo que contiene la informacion del abreviatura del objeto dominio   en el contexto de Agendas.</v>
      </c>
      <c r="S27" s="175"/>
    </row>
    <row r="28" spans="1:19" ht="29.4" thickBot="1" x14ac:dyDescent="0.35">
      <c r="A28" s="170"/>
      <c r="B28" s="185"/>
      <c r="C28" s="186" t="s">
        <v>106</v>
      </c>
      <c r="D28" s="186" t="s">
        <v>107</v>
      </c>
      <c r="E28" s="186">
        <v>4</v>
      </c>
      <c r="F28" s="186">
        <v>5</v>
      </c>
      <c r="G28" s="186"/>
      <c r="H28" s="186"/>
      <c r="I28" s="186"/>
      <c r="J28" s="186" t="str">
        <f t="shared" si="4"/>
        <v>enBaseUnidadTiempoUso</v>
      </c>
      <c r="K28" s="186" t="s">
        <v>59</v>
      </c>
      <c r="L28" s="186" t="s">
        <v>107</v>
      </c>
      <c r="M28" s="186">
        <v>4</v>
      </c>
      <c r="N28" s="186">
        <v>5</v>
      </c>
      <c r="O28" s="186"/>
      <c r="P28" s="186"/>
      <c r="Q28" s="186"/>
      <c r="R28" s="187" t="str">
        <f t="shared" si="5"/>
        <v>Atributo que contiene la informacion del enBase del objeto dominio   en el contexto de Agendas.</v>
      </c>
      <c r="S28" s="175"/>
    </row>
    <row r="29" spans="1:19" ht="29.4" thickBot="1" x14ac:dyDescent="0.35">
      <c r="A29" s="170"/>
      <c r="B29" s="188" t="s">
        <v>61</v>
      </c>
      <c r="C29" s="189" t="s">
        <v>55</v>
      </c>
      <c r="D29" s="189" t="s">
        <v>56</v>
      </c>
      <c r="E29" s="189">
        <v>32</v>
      </c>
      <c r="F29" s="189">
        <v>32</v>
      </c>
      <c r="G29" s="189"/>
      <c r="H29" s="189"/>
      <c r="I29" s="189"/>
      <c r="J29" s="189" t="str">
        <f>_xlfn.CONCAT(C29,$B$29)</f>
        <v>identificadorConjuntoResidencial</v>
      </c>
      <c r="K29" s="189" t="s">
        <v>59</v>
      </c>
      <c r="L29" s="189" t="s">
        <v>56</v>
      </c>
      <c r="M29" s="189">
        <v>32</v>
      </c>
      <c r="N29" s="189">
        <v>32</v>
      </c>
      <c r="O29" s="189"/>
      <c r="P29" s="189"/>
      <c r="Q29" s="189"/>
      <c r="R29" s="190" t="str">
        <f>_xlfn.CONCAT("Atributo que contiene la informacion del ",C29," del objeto dominio ",B29,"  en el contexto de ",$A$5,".")</f>
        <v>Atributo que contiene la informacion del identificador del objeto dominio ConjuntoResidencial  en el contexto de Agendas.</v>
      </c>
      <c r="S29" s="175"/>
    </row>
    <row r="30" spans="1:19" ht="29.4" thickBot="1" x14ac:dyDescent="0.35">
      <c r="A30" s="170"/>
      <c r="B30" s="188"/>
      <c r="C30" s="189" t="s">
        <v>57</v>
      </c>
      <c r="D30" s="189" t="s">
        <v>58</v>
      </c>
      <c r="E30" s="189">
        <v>1</v>
      </c>
      <c r="F30" s="189">
        <v>50</v>
      </c>
      <c r="G30" s="189"/>
      <c r="H30" s="189"/>
      <c r="I30" s="189"/>
      <c r="J30" s="189" t="str">
        <f>_xlfn.CONCAT(C30,$B$29)</f>
        <v>nombreConjuntoResidencial</v>
      </c>
      <c r="K30" s="189" t="s">
        <v>59</v>
      </c>
      <c r="L30" s="189" t="s">
        <v>58</v>
      </c>
      <c r="M30" s="189">
        <v>1</v>
      </c>
      <c r="N30" s="189">
        <v>50</v>
      </c>
      <c r="O30" s="189"/>
      <c r="P30" s="189"/>
      <c r="Q30" s="189"/>
      <c r="R30" s="190" t="str">
        <f>_xlfn.CONCAT("Atributo que contiene la informacion del ",C30," del objeto dominio ",B30,"  en el contexto de ",$A$5,".")</f>
        <v>Atributo que contiene la informacion del nombre del objeto dominio   en el contexto de Agendas.</v>
      </c>
      <c r="S30" s="175"/>
    </row>
  </sheetData>
  <mergeCells count="13">
    <mergeCell ref="B25:B28"/>
    <mergeCell ref="B29:B30"/>
    <mergeCell ref="A5:A30"/>
    <mergeCell ref="S5:S30"/>
    <mergeCell ref="B5:B10"/>
    <mergeCell ref="B11:B16"/>
    <mergeCell ref="B17:B24"/>
    <mergeCell ref="B1:S1"/>
    <mergeCell ref="A2:S2"/>
    <mergeCell ref="A3:I3"/>
    <mergeCell ref="J3:Q3"/>
    <mergeCell ref="R3:R4"/>
    <mergeCell ref="S3:S4"/>
  </mergeCells>
  <hyperlinks>
    <hyperlink ref="C5" location="Residente!A12" display="identificador" xr:uid="{80169430-9A83-40F6-BE78-C9769A7F908B}"/>
    <hyperlink ref="D10" location="'Turno Agenda-0001'!B16" display="Agenda" xr:uid="{E1929EA4-A6B8-4029-BD9C-AD457B98DF86}"/>
    <hyperlink ref="D23" location="'Turno Agenda-0001'!B28" display="UnidadTiempoUso" xr:uid="{97677138-903B-4D54-A186-3863CA1355FF}"/>
    <hyperlink ref="D24" location="'Turno Agenda-0001'!B30" display="ConjuntoResidencial" xr:uid="{556D781E-3892-4B9C-B5A1-AB4E5826C218}"/>
    <hyperlink ref="D16" location="'Turno Agenda-0001'!B23" display="ZonaComun" xr:uid="{88D75804-7AEF-42DC-949C-FB570282EA2F}"/>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5DCF13-A122-49FD-BB4E-83BC928CCAC1}">
  <dimension ref="A1:S18"/>
  <sheetViews>
    <sheetView zoomScale="64" workbookViewId="0">
      <selection activeCell="H17" sqref="H17"/>
    </sheetView>
  </sheetViews>
  <sheetFormatPr baseColWidth="10" defaultColWidth="11.44140625" defaultRowHeight="14.4" x14ac:dyDescent="0.3"/>
  <cols>
    <col min="1" max="1" width="14.5546875" style="13" customWidth="1"/>
    <col min="2" max="2" width="19.88671875" style="13" customWidth="1"/>
    <col min="3" max="3" width="23.44140625" style="13" bestFit="1" customWidth="1"/>
    <col min="4" max="4" width="19.44140625" style="13" bestFit="1" customWidth="1"/>
    <col min="5" max="5" width="16.109375" style="13" bestFit="1" customWidth="1"/>
    <col min="6" max="6" width="16.44140625" style="13" bestFit="1" customWidth="1"/>
    <col min="7" max="7" width="9.44140625" style="13" bestFit="1" customWidth="1"/>
    <col min="8" max="8" width="12.5546875" style="13" bestFit="1" customWidth="1"/>
    <col min="9" max="9" width="12" style="13" bestFit="1" customWidth="1"/>
    <col min="10" max="10" width="31" style="13" bestFit="1" customWidth="1"/>
    <col min="11" max="11" width="23.5546875" style="13" bestFit="1" customWidth="1"/>
    <col min="12" max="12" width="16.5546875" style="13" bestFit="1" customWidth="1"/>
    <col min="13" max="13" width="16.109375" style="13" bestFit="1" customWidth="1"/>
    <col min="14" max="14" width="16.44140625" style="13" bestFit="1" customWidth="1"/>
    <col min="15" max="15" width="9.44140625" style="13" bestFit="1" customWidth="1"/>
    <col min="16" max="16" width="12.5546875" style="13" bestFit="1" customWidth="1"/>
    <col min="17" max="17" width="12" style="13" bestFit="1" customWidth="1"/>
    <col min="18" max="18" width="58" style="26" customWidth="1"/>
    <col min="19" max="19" width="17.109375" style="13" bestFit="1" customWidth="1"/>
    <col min="20" max="16384" width="11.44140625" style="13"/>
  </cols>
  <sheetData>
    <row r="1" spans="1:19" x14ac:dyDescent="0.3">
      <c r="A1" s="12" t="s">
        <v>39</v>
      </c>
      <c r="B1" s="120" t="str">
        <f>Agendas!D8</f>
        <v>Agenda ConjuntosResidenciales-0001</v>
      </c>
      <c r="C1" s="120"/>
      <c r="D1" s="120"/>
      <c r="E1" s="120"/>
      <c r="F1" s="120"/>
      <c r="G1" s="120"/>
      <c r="H1" s="120"/>
      <c r="I1" s="120"/>
      <c r="J1" s="120"/>
      <c r="K1" s="120"/>
      <c r="L1" s="120"/>
      <c r="M1" s="120"/>
      <c r="N1" s="120"/>
      <c r="O1" s="120"/>
      <c r="P1" s="120"/>
      <c r="Q1" s="120"/>
      <c r="R1" s="120"/>
      <c r="S1" s="121"/>
    </row>
    <row r="2" spans="1:19" x14ac:dyDescent="0.3">
      <c r="A2" s="113"/>
      <c r="B2" s="114"/>
      <c r="C2" s="114"/>
      <c r="D2" s="114"/>
      <c r="E2" s="114"/>
      <c r="F2" s="114"/>
      <c r="G2" s="114"/>
      <c r="H2" s="114"/>
      <c r="I2" s="114"/>
      <c r="J2" s="114"/>
      <c r="K2" s="114"/>
      <c r="L2" s="114"/>
      <c r="M2" s="114"/>
      <c r="N2" s="114"/>
      <c r="O2" s="114"/>
      <c r="P2" s="114"/>
      <c r="Q2" s="114"/>
      <c r="R2" s="114"/>
      <c r="S2" s="115"/>
    </row>
    <row r="3" spans="1:19" x14ac:dyDescent="0.3">
      <c r="A3" s="123" t="s">
        <v>42</v>
      </c>
      <c r="B3" s="124"/>
      <c r="C3" s="124"/>
      <c r="D3" s="124"/>
      <c r="E3" s="124"/>
      <c r="F3" s="124"/>
      <c r="G3" s="124"/>
      <c r="H3" s="124"/>
      <c r="I3" s="124"/>
      <c r="J3" s="124" t="s">
        <v>43</v>
      </c>
      <c r="K3" s="124"/>
      <c r="L3" s="124"/>
      <c r="M3" s="124"/>
      <c r="N3" s="124"/>
      <c r="O3" s="124"/>
      <c r="P3" s="124"/>
      <c r="Q3" s="124"/>
      <c r="R3" s="148" t="s">
        <v>29</v>
      </c>
      <c r="S3" s="150" t="s">
        <v>44</v>
      </c>
    </row>
    <row r="4" spans="1:19" ht="15" thickBot="1" x14ac:dyDescent="0.35">
      <c r="A4" s="29" t="s">
        <v>28</v>
      </c>
      <c r="B4" s="30" t="s">
        <v>45</v>
      </c>
      <c r="C4" s="16" t="s">
        <v>46</v>
      </c>
      <c r="D4" s="16" t="s">
        <v>47</v>
      </c>
      <c r="E4" s="16" t="s">
        <v>48</v>
      </c>
      <c r="F4" s="16" t="s">
        <v>49</v>
      </c>
      <c r="G4" s="16" t="s">
        <v>50</v>
      </c>
      <c r="H4" s="16" t="s">
        <v>51</v>
      </c>
      <c r="I4" s="16" t="s">
        <v>52</v>
      </c>
      <c r="J4" s="16" t="s">
        <v>53</v>
      </c>
      <c r="K4" s="16" t="s">
        <v>54</v>
      </c>
      <c r="L4" s="16" t="s">
        <v>47</v>
      </c>
      <c r="M4" s="16" t="s">
        <v>48</v>
      </c>
      <c r="N4" s="16" t="s">
        <v>49</v>
      </c>
      <c r="O4" s="16" t="s">
        <v>50</v>
      </c>
      <c r="P4" s="16" t="s">
        <v>51</v>
      </c>
      <c r="Q4" s="16" t="s">
        <v>52</v>
      </c>
      <c r="R4" s="149"/>
      <c r="S4" s="151"/>
    </row>
    <row r="5" spans="1:19" ht="28.95" customHeight="1" thickTop="1" thickBot="1" x14ac:dyDescent="0.35">
      <c r="A5" s="138" t="s">
        <v>60</v>
      </c>
      <c r="B5" s="142" t="s">
        <v>41</v>
      </c>
      <c r="C5" s="51" t="s">
        <v>55</v>
      </c>
      <c r="D5" s="51" t="s">
        <v>56</v>
      </c>
      <c r="E5" s="51">
        <v>32</v>
      </c>
      <c r="F5" s="51">
        <v>32</v>
      </c>
      <c r="G5" s="51"/>
      <c r="H5" s="51"/>
      <c r="I5" s="51"/>
      <c r="J5" s="51" t="str">
        <f>_xlfn.CONCAT(C5,$B$5)</f>
        <v>identificadorZonaComun</v>
      </c>
      <c r="K5" s="51" t="s">
        <v>59</v>
      </c>
      <c r="L5" s="51" t="s">
        <v>56</v>
      </c>
      <c r="M5" s="51">
        <v>32</v>
      </c>
      <c r="N5" s="51">
        <v>32</v>
      </c>
      <c r="O5" s="51"/>
      <c r="P5" s="51"/>
      <c r="Q5" s="52"/>
      <c r="R5" s="68" t="str">
        <f>_xlfn.CONCAT("Atributo que contiene la informacion del ",C5," del objeto dominio ",B5,"  en el contexto de ",$A$5,".")</f>
        <v>Atributo que contiene la informacion del identificador del objeto dominio ZonaComun  en el contexto de Conjuntos Residenciales.</v>
      </c>
      <c r="S5" s="141" t="s">
        <v>41</v>
      </c>
    </row>
    <row r="6" spans="1:19" ht="30.6" customHeight="1" thickTop="1" thickBot="1" x14ac:dyDescent="0.35">
      <c r="A6" s="139"/>
      <c r="B6" s="143"/>
      <c r="C6" s="51" t="s">
        <v>4</v>
      </c>
      <c r="D6" s="51" t="s">
        <v>58</v>
      </c>
      <c r="E6" s="51">
        <v>3</v>
      </c>
      <c r="F6" s="51">
        <v>50</v>
      </c>
      <c r="G6" s="51"/>
      <c r="H6" s="51"/>
      <c r="I6" s="51"/>
      <c r="J6" s="51" t="str">
        <f t="shared" ref="J6:J10" si="0">_xlfn.CONCAT(C6,$B$5)</f>
        <v>NombreZonaComun</v>
      </c>
      <c r="K6" s="51" t="s">
        <v>59</v>
      </c>
      <c r="L6" s="51" t="s">
        <v>58</v>
      </c>
      <c r="M6" s="51">
        <v>3</v>
      </c>
      <c r="N6" s="51">
        <v>50</v>
      </c>
      <c r="O6" s="51"/>
      <c r="P6" s="51"/>
      <c r="Q6" s="52"/>
      <c r="R6" s="68" t="str">
        <f t="shared" ref="R6:R10" si="1">_xlfn.CONCAT("Atributo que contiene la informacion del ",C6," del objeto dominio ",B6,"  en el contexto de ",$A$5,".")</f>
        <v>Atributo que contiene la informacion del Nombre del objeto dominio   en el contexto de Conjuntos Residenciales.</v>
      </c>
      <c r="S6" s="141"/>
    </row>
    <row r="7" spans="1:19" ht="30.6" customHeight="1" thickTop="1" thickBot="1" x14ac:dyDescent="0.35">
      <c r="A7" s="139"/>
      <c r="B7" s="143"/>
      <c r="C7" s="51" t="s">
        <v>95</v>
      </c>
      <c r="D7" s="51" t="s">
        <v>93</v>
      </c>
      <c r="E7" s="51">
        <v>1</v>
      </c>
      <c r="F7" s="51">
        <v>4</v>
      </c>
      <c r="G7" s="51"/>
      <c r="H7" s="51"/>
      <c r="I7" s="51"/>
      <c r="J7" s="51" t="str">
        <f t="shared" si="0"/>
        <v>capacidadPersonasZonaComun</v>
      </c>
      <c r="K7" s="51" t="s">
        <v>59</v>
      </c>
      <c r="L7" s="51" t="s">
        <v>93</v>
      </c>
      <c r="M7" s="51">
        <v>1</v>
      </c>
      <c r="N7" s="51">
        <v>4</v>
      </c>
      <c r="O7" s="51"/>
      <c r="P7" s="51"/>
      <c r="Q7" s="52"/>
      <c r="R7" s="68" t="str">
        <f t="shared" si="1"/>
        <v>Atributo que contiene la informacion del capacidadPersonas del objeto dominio   en el contexto de Conjuntos Residenciales.</v>
      </c>
      <c r="S7" s="141"/>
    </row>
    <row r="8" spans="1:19" ht="30.6" customHeight="1" thickTop="1" thickBot="1" x14ac:dyDescent="0.35">
      <c r="A8" s="139"/>
      <c r="B8" s="143"/>
      <c r="C8" s="51" t="s">
        <v>108</v>
      </c>
      <c r="D8" s="51" t="s">
        <v>58</v>
      </c>
      <c r="E8" s="51">
        <v>0</v>
      </c>
      <c r="F8" s="51">
        <v>255</v>
      </c>
      <c r="G8" s="51"/>
      <c r="H8" s="51"/>
      <c r="I8" s="51"/>
      <c r="J8" s="51" t="str">
        <f t="shared" si="0"/>
        <v>descripcionZonaComun</v>
      </c>
      <c r="K8" s="51" t="s">
        <v>59</v>
      </c>
      <c r="L8" s="51" t="s">
        <v>58</v>
      </c>
      <c r="M8" s="51">
        <v>0</v>
      </c>
      <c r="N8" s="51">
        <v>255</v>
      </c>
      <c r="O8" s="51"/>
      <c r="P8" s="51"/>
      <c r="Q8" s="52"/>
      <c r="R8" s="68" t="str">
        <f t="shared" si="1"/>
        <v>Atributo que contiene la informacion del descripcion del objeto dominio   en el contexto de Conjuntos Residenciales.</v>
      </c>
      <c r="S8" s="141"/>
    </row>
    <row r="9" spans="1:19" ht="30.6" customHeight="1" thickTop="1" thickBot="1" x14ac:dyDescent="0.35">
      <c r="A9" s="139"/>
      <c r="B9" s="143"/>
      <c r="C9" s="51" t="s">
        <v>136</v>
      </c>
      <c r="D9" s="51" t="s">
        <v>58</v>
      </c>
      <c r="E9" s="51">
        <v>0</v>
      </c>
      <c r="F9" s="51">
        <v>5000</v>
      </c>
      <c r="G9" s="51"/>
      <c r="H9" s="51"/>
      <c r="I9" s="51"/>
      <c r="J9" s="51" t="str">
        <f t="shared" si="0"/>
        <v>normasZonaComun</v>
      </c>
      <c r="K9" s="51" t="s">
        <v>59</v>
      </c>
      <c r="L9" s="51" t="s">
        <v>58</v>
      </c>
      <c r="M9" s="51">
        <v>0</v>
      </c>
      <c r="N9" s="51">
        <v>5000</v>
      </c>
      <c r="O9" s="51"/>
      <c r="P9" s="51"/>
      <c r="Q9" s="52"/>
      <c r="R9" s="68" t="str">
        <f t="shared" si="1"/>
        <v>Atributo que contiene la informacion del normas del objeto dominio   en el contexto de Conjuntos Residenciales.</v>
      </c>
      <c r="S9" s="141"/>
    </row>
    <row r="10" spans="1:19" ht="30.6" customHeight="1" thickTop="1" thickBot="1" x14ac:dyDescent="0.35">
      <c r="A10" s="139"/>
      <c r="B10" s="143"/>
      <c r="C10" s="51" t="s">
        <v>96</v>
      </c>
      <c r="D10" s="51" t="s">
        <v>93</v>
      </c>
      <c r="E10" s="51">
        <v>1</v>
      </c>
      <c r="F10" s="51">
        <v>5</v>
      </c>
      <c r="G10" s="51"/>
      <c r="H10" s="51">
        <v>0</v>
      </c>
      <c r="I10" s="51">
        <v>3600</v>
      </c>
      <c r="J10" s="51" t="str">
        <f t="shared" si="0"/>
        <v>tiempoUsoZonaComun</v>
      </c>
      <c r="K10" s="51" t="s">
        <v>59</v>
      </c>
      <c r="L10" s="51" t="s">
        <v>93</v>
      </c>
      <c r="M10" s="51">
        <v>1</v>
      </c>
      <c r="N10" s="51">
        <v>5</v>
      </c>
      <c r="O10" s="51"/>
      <c r="P10" s="51">
        <v>0</v>
      </c>
      <c r="Q10" s="52">
        <v>3600</v>
      </c>
      <c r="R10" s="68" t="str">
        <f t="shared" si="1"/>
        <v>Atributo que contiene la informacion del tiempoUso del objeto dominio   en el contexto de Conjuntos Residenciales.</v>
      </c>
      <c r="S10" s="141"/>
    </row>
    <row r="11" spans="1:19" ht="15.6" thickTop="1" thickBot="1" x14ac:dyDescent="0.35">
      <c r="A11" s="139"/>
      <c r="B11" s="143"/>
      <c r="C11" s="51" t="s">
        <v>97</v>
      </c>
      <c r="D11" s="69" t="s">
        <v>104</v>
      </c>
      <c r="E11" s="51"/>
      <c r="F11" s="51"/>
      <c r="G11" s="51"/>
      <c r="H11" s="51"/>
      <c r="I11" s="51"/>
      <c r="J11" s="51"/>
      <c r="K11" s="51"/>
      <c r="L11" s="51"/>
      <c r="M11" s="51"/>
      <c r="N11" s="51"/>
      <c r="O11" s="51"/>
      <c r="P11" s="51"/>
      <c r="Q11" s="52"/>
      <c r="R11" s="68"/>
      <c r="S11" s="141"/>
    </row>
    <row r="12" spans="1:19" ht="15.6" thickTop="1" thickBot="1" x14ac:dyDescent="0.35">
      <c r="A12" s="139"/>
      <c r="B12" s="144"/>
      <c r="C12" s="51" t="s">
        <v>62</v>
      </c>
      <c r="D12" s="69" t="s">
        <v>61</v>
      </c>
      <c r="E12" s="51"/>
      <c r="F12" s="51"/>
      <c r="G12" s="51"/>
      <c r="H12" s="51"/>
      <c r="I12" s="51"/>
      <c r="J12" s="51"/>
      <c r="K12" s="51"/>
      <c r="L12" s="51"/>
      <c r="M12" s="51"/>
      <c r="N12" s="51"/>
      <c r="O12" s="51"/>
      <c r="P12" s="51"/>
      <c r="Q12" s="52"/>
      <c r="R12" s="68"/>
      <c r="S12" s="141"/>
    </row>
    <row r="13" spans="1:19" ht="30" thickTop="1" thickBot="1" x14ac:dyDescent="0.35">
      <c r="A13" s="139"/>
      <c r="B13" s="145" t="s">
        <v>104</v>
      </c>
      <c r="C13" s="71" t="s">
        <v>55</v>
      </c>
      <c r="D13" s="71" t="s">
        <v>56</v>
      </c>
      <c r="E13" s="71">
        <v>32</v>
      </c>
      <c r="F13" s="71">
        <v>32</v>
      </c>
      <c r="G13" s="71"/>
      <c r="H13" s="71"/>
      <c r="I13" s="71"/>
      <c r="J13" s="71" t="str">
        <f>_xlfn.CONCAT(C13,$B$13)</f>
        <v>identificadorUnidadTiempoUso</v>
      </c>
      <c r="K13" s="71" t="s">
        <v>59</v>
      </c>
      <c r="L13" s="71" t="s">
        <v>56</v>
      </c>
      <c r="M13" s="71">
        <v>32</v>
      </c>
      <c r="N13" s="71">
        <v>32</v>
      </c>
      <c r="O13" s="71"/>
      <c r="P13" s="71"/>
      <c r="Q13" s="72"/>
      <c r="R13" s="73" t="str">
        <f>_xlfn.CONCAT("Atributo que contiene la informacion del ",C13," del objeto dominio ",B13,"  en el contexto de ",$A$5,".")</f>
        <v>Atributo que contiene la informacion del identificador del objeto dominio UnidadTiempoUso  en el contexto de Conjuntos Residenciales.</v>
      </c>
      <c r="S13" s="141"/>
    </row>
    <row r="14" spans="1:19" ht="30" thickTop="1" thickBot="1" x14ac:dyDescent="0.35">
      <c r="A14" s="139"/>
      <c r="B14" s="146"/>
      <c r="C14" s="71" t="s">
        <v>57</v>
      </c>
      <c r="D14" s="71" t="s">
        <v>58</v>
      </c>
      <c r="E14" s="71">
        <v>3</v>
      </c>
      <c r="F14" s="71">
        <v>50</v>
      </c>
      <c r="G14" s="71"/>
      <c r="H14" s="71"/>
      <c r="I14" s="71"/>
      <c r="J14" s="71" t="str">
        <f t="shared" ref="J14:J16" si="2">_xlfn.CONCAT(C14,$B$13)</f>
        <v>nombreUnidadTiempoUso</v>
      </c>
      <c r="K14" s="71" t="s">
        <v>59</v>
      </c>
      <c r="L14" s="71" t="s">
        <v>58</v>
      </c>
      <c r="M14" s="71">
        <v>3</v>
      </c>
      <c r="N14" s="71">
        <v>50</v>
      </c>
      <c r="O14" s="71"/>
      <c r="P14" s="71"/>
      <c r="Q14" s="72"/>
      <c r="R14" s="73" t="str">
        <f t="shared" ref="R14:R16" si="3">_xlfn.CONCAT("Atributo que contiene la informacion del ",C14," del objeto dominio ",B14,"  en el contexto de ",$A$5,".")</f>
        <v>Atributo que contiene la informacion del nombre del objeto dominio   en el contexto de Conjuntos Residenciales.</v>
      </c>
      <c r="S14" s="141"/>
    </row>
    <row r="15" spans="1:19" ht="30" thickTop="1" thickBot="1" x14ac:dyDescent="0.35">
      <c r="A15" s="139"/>
      <c r="B15" s="146"/>
      <c r="C15" s="71" t="s">
        <v>105</v>
      </c>
      <c r="D15" s="71" t="s">
        <v>58</v>
      </c>
      <c r="E15" s="71">
        <v>1</v>
      </c>
      <c r="F15" s="71">
        <v>3</v>
      </c>
      <c r="G15" s="71"/>
      <c r="H15" s="71"/>
      <c r="I15" s="71"/>
      <c r="J15" s="71" t="str">
        <f t="shared" si="2"/>
        <v>abreviaturaUnidadTiempoUso</v>
      </c>
      <c r="K15" s="71" t="s">
        <v>59</v>
      </c>
      <c r="L15" s="71" t="s">
        <v>58</v>
      </c>
      <c r="M15" s="71">
        <v>1</v>
      </c>
      <c r="N15" s="71">
        <v>3</v>
      </c>
      <c r="O15" s="71"/>
      <c r="P15" s="71"/>
      <c r="Q15" s="72"/>
      <c r="R15" s="73" t="str">
        <f t="shared" si="3"/>
        <v>Atributo que contiene la informacion del abreviatura del objeto dominio   en el contexto de Conjuntos Residenciales.</v>
      </c>
      <c r="S15" s="141"/>
    </row>
    <row r="16" spans="1:19" ht="30" thickTop="1" thickBot="1" x14ac:dyDescent="0.35">
      <c r="A16" s="139"/>
      <c r="B16" s="147"/>
      <c r="C16" s="71" t="s">
        <v>106</v>
      </c>
      <c r="D16" s="71" t="s">
        <v>107</v>
      </c>
      <c r="E16" s="71">
        <v>4</v>
      </c>
      <c r="F16" s="71">
        <v>5</v>
      </c>
      <c r="G16" s="71"/>
      <c r="H16" s="71"/>
      <c r="I16" s="71"/>
      <c r="J16" s="71" t="str">
        <f t="shared" si="2"/>
        <v>enBaseUnidadTiempoUso</v>
      </c>
      <c r="K16" s="71" t="s">
        <v>59</v>
      </c>
      <c r="L16" s="71" t="s">
        <v>107</v>
      </c>
      <c r="M16" s="71">
        <v>4</v>
      </c>
      <c r="N16" s="71">
        <v>5</v>
      </c>
      <c r="O16" s="71"/>
      <c r="P16" s="71"/>
      <c r="Q16" s="72"/>
      <c r="R16" s="73" t="str">
        <f t="shared" si="3"/>
        <v>Atributo que contiene la informacion del enBase del objeto dominio   en el contexto de Conjuntos Residenciales.</v>
      </c>
      <c r="S16" s="141"/>
    </row>
    <row r="17" spans="1:19" ht="60.6" customHeight="1" thickTop="1" thickBot="1" x14ac:dyDescent="0.35">
      <c r="A17" s="139"/>
      <c r="B17" s="127" t="s">
        <v>61</v>
      </c>
      <c r="C17" s="32" t="s">
        <v>55</v>
      </c>
      <c r="D17" s="32" t="s">
        <v>56</v>
      </c>
      <c r="E17" s="32">
        <v>32</v>
      </c>
      <c r="F17" s="32">
        <v>32</v>
      </c>
      <c r="G17" s="32"/>
      <c r="H17" s="32"/>
      <c r="I17" s="32"/>
      <c r="J17" s="32" t="str">
        <f>_xlfn.CONCAT(C17,$B$17)</f>
        <v>identificadorConjuntoResidencial</v>
      </c>
      <c r="K17" s="32" t="s">
        <v>59</v>
      </c>
      <c r="L17" s="32" t="s">
        <v>56</v>
      </c>
      <c r="M17" s="32">
        <v>32</v>
      </c>
      <c r="N17" s="32">
        <v>32</v>
      </c>
      <c r="O17" s="32"/>
      <c r="P17" s="32"/>
      <c r="Q17" s="54"/>
      <c r="R17" s="61" t="str">
        <f>_xlfn.CONCAT("Atributo que contiene la informacion del ",C17," del objeto dominio ",B17,"  en el contexto de ",$A$5,".")</f>
        <v>Atributo que contiene la informacion del identificador del objeto dominio ConjuntoResidencial  en el contexto de Conjuntos Residenciales.</v>
      </c>
      <c r="S17" s="141"/>
    </row>
    <row r="18" spans="1:19" ht="45" customHeight="1" thickTop="1" thickBot="1" x14ac:dyDescent="0.35">
      <c r="A18" s="140"/>
      <c r="B18" s="127"/>
      <c r="C18" s="32" t="s">
        <v>57</v>
      </c>
      <c r="D18" s="32" t="s">
        <v>58</v>
      </c>
      <c r="E18" s="32">
        <v>1</v>
      </c>
      <c r="F18" s="32">
        <v>50</v>
      </c>
      <c r="G18" s="32"/>
      <c r="H18" s="32"/>
      <c r="I18" s="32"/>
      <c r="J18" s="32" t="str">
        <f>_xlfn.CONCAT(C18,$B$17)</f>
        <v>nombreConjuntoResidencial</v>
      </c>
      <c r="K18" s="32" t="s">
        <v>59</v>
      </c>
      <c r="L18" s="32" t="s">
        <v>58</v>
      </c>
      <c r="M18" s="32">
        <v>1</v>
      </c>
      <c r="N18" s="32">
        <v>50</v>
      </c>
      <c r="O18" s="32"/>
      <c r="P18" s="32"/>
      <c r="Q18" s="54"/>
      <c r="R18" s="61" t="str">
        <f>_xlfn.CONCAT("Atributo que contiene la informacion del ",C18," del objeto dominio ",B18,"  en el contexto de ",$A$5,".")</f>
        <v>Atributo que contiene la informacion del nombre del objeto dominio   en el contexto de Conjuntos Residenciales.</v>
      </c>
      <c r="S18" s="141"/>
    </row>
  </sheetData>
  <mergeCells count="11">
    <mergeCell ref="B1:S1"/>
    <mergeCell ref="A2:S2"/>
    <mergeCell ref="A3:I3"/>
    <mergeCell ref="J3:Q3"/>
    <mergeCell ref="R3:R4"/>
    <mergeCell ref="S3:S4"/>
    <mergeCell ref="A5:A18"/>
    <mergeCell ref="S5:S18"/>
    <mergeCell ref="B17:B18"/>
    <mergeCell ref="B5:B12"/>
    <mergeCell ref="B13:B16"/>
  </mergeCells>
  <hyperlinks>
    <hyperlink ref="D11" location="'Agenda ConjuntosResidenciales-0'!B13" display="UnidadTiempoUso" xr:uid="{7145F6A3-A24A-4F31-B98A-658FB31AEB42}"/>
    <hyperlink ref="D12" location="'Agenda ConjuntosResidenciales-0'!B17" display="ConjuntoResidencial" xr:uid="{C0CAC5E7-0ED2-485E-BFD1-A6C07FEF9C49}"/>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88BE7-88A8-46E0-AF18-6F40B3F602F8}">
  <dimension ref="A1:F9"/>
  <sheetViews>
    <sheetView zoomScale="130" zoomScaleNormal="130" workbookViewId="0">
      <selection activeCell="D12" sqref="D12"/>
    </sheetView>
  </sheetViews>
  <sheetFormatPr baseColWidth="10" defaultColWidth="11.44140625" defaultRowHeight="14.4" x14ac:dyDescent="0.3"/>
  <cols>
    <col min="1" max="1" width="19.88671875" style="13" bestFit="1" customWidth="1"/>
    <col min="2" max="2" width="22.33203125" style="13" bestFit="1" customWidth="1"/>
    <col min="3" max="3" width="24" style="13" bestFit="1" customWidth="1"/>
    <col min="4" max="4" width="33.44140625" style="13" bestFit="1" customWidth="1"/>
    <col min="5" max="5" width="38.33203125" style="13" bestFit="1" customWidth="1"/>
    <col min="6" max="6" width="64" style="13" bestFit="1" customWidth="1"/>
    <col min="7" max="16384" width="11.44140625" style="13"/>
  </cols>
  <sheetData>
    <row r="1" spans="1:6" x14ac:dyDescent="0.3">
      <c r="A1" s="12" t="s">
        <v>28</v>
      </c>
      <c r="B1" s="107" t="str">
        <f>Contextos!B15</f>
        <v>Reservas</v>
      </c>
      <c r="C1" s="107"/>
      <c r="D1" s="107"/>
      <c r="E1" s="107"/>
      <c r="F1" s="108"/>
    </row>
    <row r="2" spans="1:6" x14ac:dyDescent="0.3">
      <c r="A2" s="14" t="s">
        <v>29</v>
      </c>
      <c r="B2" s="109" t="str">
        <f>Contextos!D15</f>
        <v>Contexto cuya intención enfocarse en la gestión del proceso de reservas de los recursos, incluyendo la disponibilidad de los recursos y las reservas que los residentes realizan.</v>
      </c>
      <c r="C2" s="109"/>
      <c r="D2" s="109"/>
      <c r="E2" s="109"/>
      <c r="F2" s="110"/>
    </row>
    <row r="3" spans="1:6" x14ac:dyDescent="0.3">
      <c r="A3" s="14" t="s">
        <v>3</v>
      </c>
      <c r="B3" s="111" t="str">
        <f>Contextos!A15</f>
        <v>Core/Básico</v>
      </c>
      <c r="C3" s="111"/>
      <c r="D3" s="111"/>
      <c r="E3" s="111"/>
      <c r="F3" s="112"/>
    </row>
    <row r="4" spans="1:6" x14ac:dyDescent="0.3">
      <c r="A4" s="113" t="s">
        <v>30</v>
      </c>
      <c r="B4" s="114"/>
      <c r="C4" s="114"/>
      <c r="D4" s="114"/>
      <c r="E4" s="114"/>
      <c r="F4" s="115"/>
    </row>
    <row r="5" spans="1:6" x14ac:dyDescent="0.3">
      <c r="A5" s="15" t="s">
        <v>31</v>
      </c>
      <c r="B5" s="16" t="s">
        <v>32</v>
      </c>
      <c r="C5" s="116" t="s">
        <v>33</v>
      </c>
      <c r="D5" s="116" t="s">
        <v>34</v>
      </c>
      <c r="E5" s="116"/>
      <c r="F5" s="117" t="s">
        <v>1</v>
      </c>
    </row>
    <row r="6" spans="1:6" x14ac:dyDescent="0.3">
      <c r="A6" s="15" t="s">
        <v>35</v>
      </c>
      <c r="B6" s="16" t="s">
        <v>36</v>
      </c>
      <c r="C6" s="116"/>
      <c r="D6" s="116"/>
      <c r="E6" s="116"/>
      <c r="F6" s="117"/>
    </row>
    <row r="7" spans="1:6" x14ac:dyDescent="0.3">
      <c r="A7" s="15" t="s">
        <v>37</v>
      </c>
      <c r="B7" s="16" t="s">
        <v>38</v>
      </c>
      <c r="C7" s="116"/>
      <c r="D7" s="16" t="s">
        <v>39</v>
      </c>
      <c r="E7" s="17" t="s">
        <v>4</v>
      </c>
      <c r="F7" s="117"/>
    </row>
    <row r="8" spans="1:6" ht="40.5" customHeight="1" x14ac:dyDescent="0.3">
      <c r="A8" s="23" t="s">
        <v>83</v>
      </c>
      <c r="B8" s="24" t="s">
        <v>25</v>
      </c>
      <c r="C8" s="24" t="s">
        <v>20</v>
      </c>
      <c r="D8" s="48" t="str">
        <f>B8&amp;"-0001"</f>
        <v>Reserva-0001</v>
      </c>
      <c r="E8" s="49" t="str">
        <f t="shared" ref="E8:E9" si="0">_xlfn.CONCAT(A8," de ",B8)</f>
        <v>Agendas de Reserva</v>
      </c>
      <c r="F8" s="25" t="s">
        <v>77</v>
      </c>
    </row>
    <row r="9" spans="1:6" ht="28.8" x14ac:dyDescent="0.3">
      <c r="A9" s="18" t="s">
        <v>80</v>
      </c>
      <c r="B9" s="19" t="s">
        <v>25</v>
      </c>
      <c r="C9" s="19" t="s">
        <v>20</v>
      </c>
      <c r="D9" s="20" t="str">
        <f>B9&amp;"-0002"</f>
        <v>Reserva-0002</v>
      </c>
      <c r="E9" s="21" t="str">
        <f t="shared" si="0"/>
        <v>Residentes de Reserva</v>
      </c>
      <c r="F9" s="22" t="s">
        <v>78</v>
      </c>
    </row>
  </sheetData>
  <mergeCells count="7">
    <mergeCell ref="B1:F1"/>
    <mergeCell ref="B2:F2"/>
    <mergeCell ref="B3:F3"/>
    <mergeCell ref="A4:F4"/>
    <mergeCell ref="C5:C7"/>
    <mergeCell ref="D5:E6"/>
    <mergeCell ref="F5:F7"/>
  </mergeCells>
  <hyperlinks>
    <hyperlink ref="D8" location="'Reserva-0001'!A1" display="'Reserva-0001'!A1" xr:uid="{2CD27129-3F8D-4A69-AE6D-74455A97C54B}"/>
    <hyperlink ref="D9" location="'Reserva-0002'!A1" display="'Reserva-0002'!A1" xr:uid="{6CE586E2-B2DF-423C-BBAA-EB08E79D1E9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124A45D-ECAC-4EEC-9BB6-8B4657FFF3C6}">
          <x14:formula1>
            <xm:f>Valores!$A$7:$A$13</xm:f>
          </x14:formula1>
          <xm:sqref>C8:C9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88799-E6A1-4FAB-A09B-AF9FE652AF52}">
  <dimension ref="A1:S27"/>
  <sheetViews>
    <sheetView zoomScale="110" zoomScaleNormal="110" workbookViewId="0">
      <selection activeCell="D20" sqref="D20"/>
    </sheetView>
  </sheetViews>
  <sheetFormatPr baseColWidth="10" defaultColWidth="11.44140625" defaultRowHeight="14.4" x14ac:dyDescent="0.3"/>
  <cols>
    <col min="1" max="1" width="12.5546875" style="13" bestFit="1" customWidth="1"/>
    <col min="2" max="2" width="19.88671875" style="13" customWidth="1"/>
    <col min="3" max="3" width="31" style="13" bestFit="1" customWidth="1"/>
    <col min="4" max="4" width="19.44140625" style="13" bestFit="1" customWidth="1"/>
    <col min="5" max="5" width="16.109375" style="13" bestFit="1" customWidth="1"/>
    <col min="6" max="6" width="16.44140625" style="13" bestFit="1" customWidth="1"/>
    <col min="7" max="7" width="9.44140625" style="13" bestFit="1" customWidth="1"/>
    <col min="8" max="8" width="12.5546875" style="13" bestFit="1" customWidth="1"/>
    <col min="9" max="9" width="12" style="13" bestFit="1" customWidth="1"/>
    <col min="10" max="10" width="42.109375" style="13" bestFit="1" customWidth="1"/>
    <col min="11" max="11" width="23.5546875" style="13" bestFit="1" customWidth="1"/>
    <col min="12" max="12" width="16.5546875" style="13" bestFit="1" customWidth="1"/>
    <col min="13" max="13" width="16.109375" style="13" bestFit="1" customWidth="1"/>
    <col min="14" max="14" width="16.44140625" style="13" bestFit="1" customWidth="1"/>
    <col min="15" max="15" width="9.44140625" style="13" bestFit="1" customWidth="1"/>
    <col min="16" max="16" width="12.5546875" style="13" bestFit="1" customWidth="1"/>
    <col min="17" max="17" width="12" style="13" bestFit="1" customWidth="1"/>
    <col min="18" max="18" width="58" style="26" customWidth="1"/>
    <col min="19" max="19" width="17.109375" style="13" bestFit="1" customWidth="1"/>
    <col min="20" max="16384" width="11.44140625" style="13"/>
  </cols>
  <sheetData>
    <row r="1" spans="1:19" x14ac:dyDescent="0.3">
      <c r="A1" s="12" t="s">
        <v>39</v>
      </c>
      <c r="B1" s="120" t="str">
        <f>Reservas!D8</f>
        <v>Reserva-0001</v>
      </c>
      <c r="C1" s="120"/>
      <c r="D1" s="120"/>
      <c r="E1" s="120"/>
      <c r="F1" s="120"/>
      <c r="G1" s="120"/>
      <c r="H1" s="120"/>
      <c r="I1" s="120"/>
      <c r="J1" s="120"/>
      <c r="K1" s="120"/>
      <c r="L1" s="120"/>
      <c r="M1" s="120"/>
      <c r="N1" s="120"/>
      <c r="O1" s="120"/>
      <c r="P1" s="120"/>
      <c r="Q1" s="120"/>
      <c r="R1" s="120"/>
      <c r="S1" s="121"/>
    </row>
    <row r="2" spans="1:19" x14ac:dyDescent="0.3">
      <c r="A2" s="113"/>
      <c r="B2" s="114"/>
      <c r="C2" s="114"/>
      <c r="D2" s="114"/>
      <c r="E2" s="114"/>
      <c r="F2" s="114"/>
      <c r="G2" s="114"/>
      <c r="H2" s="114"/>
      <c r="I2" s="114"/>
      <c r="J2" s="114"/>
      <c r="K2" s="114"/>
      <c r="L2" s="114"/>
      <c r="M2" s="114"/>
      <c r="N2" s="114"/>
      <c r="O2" s="114"/>
      <c r="P2" s="114"/>
      <c r="Q2" s="114"/>
      <c r="R2" s="114"/>
      <c r="S2" s="115"/>
    </row>
    <row r="3" spans="1:19" x14ac:dyDescent="0.3">
      <c r="A3" s="123" t="s">
        <v>42</v>
      </c>
      <c r="B3" s="124"/>
      <c r="C3" s="124"/>
      <c r="D3" s="124"/>
      <c r="E3" s="124"/>
      <c r="F3" s="124"/>
      <c r="G3" s="124"/>
      <c r="H3" s="124"/>
      <c r="I3" s="124"/>
      <c r="J3" s="124" t="s">
        <v>43</v>
      </c>
      <c r="K3" s="124"/>
      <c r="L3" s="124"/>
      <c r="M3" s="124"/>
      <c r="N3" s="124"/>
      <c r="O3" s="124"/>
      <c r="P3" s="124"/>
      <c r="Q3" s="124"/>
      <c r="R3" s="148" t="s">
        <v>29</v>
      </c>
      <c r="S3" s="150" t="s">
        <v>44</v>
      </c>
    </row>
    <row r="4" spans="1:19" ht="15" thickBot="1" x14ac:dyDescent="0.35">
      <c r="A4" s="15" t="s">
        <v>28</v>
      </c>
      <c r="B4" s="30" t="s">
        <v>45</v>
      </c>
      <c r="C4" s="16" t="s">
        <v>46</v>
      </c>
      <c r="D4" s="16" t="s">
        <v>47</v>
      </c>
      <c r="E4" s="16" t="s">
        <v>48</v>
      </c>
      <c r="F4" s="16" t="s">
        <v>49</v>
      </c>
      <c r="G4" s="16" t="s">
        <v>50</v>
      </c>
      <c r="H4" s="16" t="s">
        <v>51</v>
      </c>
      <c r="I4" s="16" t="s">
        <v>52</v>
      </c>
      <c r="J4" s="16" t="s">
        <v>53</v>
      </c>
      <c r="K4" s="16" t="s">
        <v>54</v>
      </c>
      <c r="L4" s="16" t="s">
        <v>47</v>
      </c>
      <c r="M4" s="16" t="s">
        <v>48</v>
      </c>
      <c r="N4" s="16" t="s">
        <v>49</v>
      </c>
      <c r="O4" s="16" t="s">
        <v>50</v>
      </c>
      <c r="P4" s="16" t="s">
        <v>51</v>
      </c>
      <c r="Q4" s="16" t="s">
        <v>52</v>
      </c>
      <c r="R4" s="155"/>
      <c r="S4" s="151"/>
    </row>
    <row r="5" spans="1:19" ht="44.4" thickTop="1" thickBot="1" x14ac:dyDescent="0.35">
      <c r="A5" s="133" t="s">
        <v>83</v>
      </c>
      <c r="B5" s="135" t="s">
        <v>41</v>
      </c>
      <c r="C5" s="51" t="s">
        <v>118</v>
      </c>
      <c r="D5" s="51" t="s">
        <v>56</v>
      </c>
      <c r="E5" s="51">
        <v>32</v>
      </c>
      <c r="F5" s="51">
        <v>32</v>
      </c>
      <c r="G5" s="51"/>
      <c r="H5" s="51"/>
      <c r="I5" s="51"/>
      <c r="J5" s="51" t="str">
        <f>_xlfn.CONCAT(C5,"(",$B$5,")")</f>
        <v>identificadorConjuntoResidencial(ZonaComun)</v>
      </c>
      <c r="K5" s="51" t="s">
        <v>59</v>
      </c>
      <c r="L5" s="51" t="s">
        <v>56</v>
      </c>
      <c r="M5" s="51">
        <v>32</v>
      </c>
      <c r="N5" s="51">
        <v>32</v>
      </c>
      <c r="O5" s="51"/>
      <c r="P5" s="51"/>
      <c r="Q5" s="51"/>
      <c r="R5" s="68" t="str">
        <f>_xlfn.CONCAT("Atributo que contiene la informacion del ",C5," del objeto dominio ",B5,"  en el contexto de ",$A$5,".")</f>
        <v>Atributo que contiene la informacion del identificadorConjuntoResidencial del objeto dominio ZonaComun  en el contexto de Agendas.</v>
      </c>
      <c r="S5" s="152" t="s">
        <v>65</v>
      </c>
    </row>
    <row r="6" spans="1:19" ht="30" thickTop="1" thickBot="1" x14ac:dyDescent="0.35">
      <c r="A6" s="133"/>
      <c r="B6" s="136"/>
      <c r="C6" s="51" t="s">
        <v>119</v>
      </c>
      <c r="D6" s="51" t="s">
        <v>58</v>
      </c>
      <c r="E6" s="51">
        <v>3</v>
      </c>
      <c r="F6" s="51">
        <v>50</v>
      </c>
      <c r="G6" s="51"/>
      <c r="H6" s="51"/>
      <c r="I6" s="51"/>
      <c r="J6" s="51" t="str">
        <f t="shared" ref="J6:J15" si="0">_xlfn.CONCAT(C6,"(",$B$5,")")</f>
        <v>nombreConjuntoResidencial(ZonaComun)</v>
      </c>
      <c r="K6" s="51" t="s">
        <v>59</v>
      </c>
      <c r="L6" s="51" t="s">
        <v>58</v>
      </c>
      <c r="M6" s="51">
        <v>3</v>
      </c>
      <c r="N6" s="51">
        <v>50</v>
      </c>
      <c r="O6" s="51"/>
      <c r="P6" s="51"/>
      <c r="Q6" s="51"/>
      <c r="R6" s="68" t="str">
        <f t="shared" ref="R6:R15" si="1">_xlfn.CONCAT("Atributo que contiene la informacion del ",C6," del objeto dominio ",B6,"  en el contexto de ",$A$5,".")</f>
        <v>Atributo que contiene la informacion del nombreConjuntoResidencial del objeto dominio   en el contexto de Agendas.</v>
      </c>
      <c r="S6" s="152"/>
    </row>
    <row r="7" spans="1:19" ht="44.4" thickTop="1" thickBot="1" x14ac:dyDescent="0.35">
      <c r="A7" s="133"/>
      <c r="B7" s="136"/>
      <c r="C7" s="51" t="s">
        <v>120</v>
      </c>
      <c r="D7" s="51" t="s">
        <v>56</v>
      </c>
      <c r="E7" s="51">
        <v>32</v>
      </c>
      <c r="F7" s="51">
        <v>32</v>
      </c>
      <c r="G7" s="51"/>
      <c r="H7" s="51"/>
      <c r="I7" s="51"/>
      <c r="J7" s="51" t="str">
        <f t="shared" si="0"/>
        <v>identificadorUnidadTiempoUso(ZonaComun)</v>
      </c>
      <c r="K7" s="51" t="s">
        <v>59</v>
      </c>
      <c r="L7" s="51" t="s">
        <v>56</v>
      </c>
      <c r="M7" s="51">
        <v>32</v>
      </c>
      <c r="N7" s="51">
        <v>32</v>
      </c>
      <c r="O7" s="51"/>
      <c r="P7" s="51"/>
      <c r="Q7" s="51"/>
      <c r="R7" s="68" t="str">
        <f t="shared" si="1"/>
        <v>Atributo que contiene la informacion del identificadorUnidadTiempoUso del objeto dominio   en el contexto de Agendas.</v>
      </c>
      <c r="S7" s="152"/>
    </row>
    <row r="8" spans="1:19" ht="30" thickTop="1" thickBot="1" x14ac:dyDescent="0.35">
      <c r="A8" s="133"/>
      <c r="B8" s="136"/>
      <c r="C8" s="51" t="s">
        <v>121</v>
      </c>
      <c r="D8" s="51" t="s">
        <v>58</v>
      </c>
      <c r="E8" s="51">
        <v>3</v>
      </c>
      <c r="F8" s="51">
        <v>50</v>
      </c>
      <c r="G8" s="51"/>
      <c r="H8" s="51"/>
      <c r="I8" s="51"/>
      <c r="J8" s="51" t="str">
        <f t="shared" si="0"/>
        <v>nombreUnidadTiempoUso(ZonaComun)</v>
      </c>
      <c r="K8" s="51" t="s">
        <v>59</v>
      </c>
      <c r="L8" s="51" t="s">
        <v>58</v>
      </c>
      <c r="M8" s="51">
        <v>3</v>
      </c>
      <c r="N8" s="51">
        <v>50</v>
      </c>
      <c r="O8" s="51"/>
      <c r="P8" s="51"/>
      <c r="Q8" s="51"/>
      <c r="R8" s="68" t="str">
        <f t="shared" si="1"/>
        <v>Atributo que contiene la informacion del nombreUnidadTiempoUso del objeto dominio   en el contexto de Agendas.</v>
      </c>
      <c r="S8" s="152"/>
    </row>
    <row r="9" spans="1:19" ht="30" thickTop="1" thickBot="1" x14ac:dyDescent="0.35">
      <c r="A9" s="133"/>
      <c r="B9" s="136"/>
      <c r="C9" s="51" t="s">
        <v>122</v>
      </c>
      <c r="D9" s="51" t="s">
        <v>58</v>
      </c>
      <c r="E9" s="51">
        <v>1</v>
      </c>
      <c r="F9" s="51">
        <v>6</v>
      </c>
      <c r="G9" s="51"/>
      <c r="H9" s="51"/>
      <c r="I9" s="51"/>
      <c r="J9" s="51" t="str">
        <f t="shared" si="0"/>
        <v>abreviaturaUnidadTiempoUso(ZonaComun)</v>
      </c>
      <c r="K9" s="51" t="s">
        <v>59</v>
      </c>
      <c r="L9" s="51" t="s">
        <v>58</v>
      </c>
      <c r="M9" s="51">
        <v>1</v>
      </c>
      <c r="N9" s="51">
        <v>6</v>
      </c>
      <c r="O9" s="51"/>
      <c r="P9" s="51"/>
      <c r="Q9" s="51"/>
      <c r="R9" s="68" t="str">
        <f t="shared" si="1"/>
        <v>Atributo que contiene la informacion del abreviaturaUnidadTiempoUso del objeto dominio   en el contexto de Agendas.</v>
      </c>
      <c r="S9" s="152"/>
    </row>
    <row r="10" spans="1:19" ht="30" thickTop="1" thickBot="1" x14ac:dyDescent="0.35">
      <c r="A10" s="133"/>
      <c r="B10" s="136"/>
      <c r="C10" s="74" t="s">
        <v>123</v>
      </c>
      <c r="D10" s="51" t="s">
        <v>107</v>
      </c>
      <c r="E10" s="51">
        <v>1</v>
      </c>
      <c r="F10" s="51">
        <v>10</v>
      </c>
      <c r="G10" s="51"/>
      <c r="H10" s="51"/>
      <c r="I10" s="51"/>
      <c r="J10" s="51" t="str">
        <f t="shared" si="0"/>
        <v>enBaseUnidadTiempoUso(ZonaComun)</v>
      </c>
      <c r="K10" s="51" t="s">
        <v>59</v>
      </c>
      <c r="L10" s="51" t="s">
        <v>107</v>
      </c>
      <c r="M10" s="51">
        <v>1</v>
      </c>
      <c r="N10" s="51">
        <v>10</v>
      </c>
      <c r="O10" s="51"/>
      <c r="P10" s="51"/>
      <c r="Q10" s="51"/>
      <c r="R10" s="68" t="str">
        <f t="shared" si="1"/>
        <v>Atributo que contiene la informacion del enBaseUnidadTiempoUso del objeto dominio   en el contexto de Agendas.</v>
      </c>
      <c r="S10" s="152"/>
    </row>
    <row r="11" spans="1:19" ht="30" thickTop="1" thickBot="1" x14ac:dyDescent="0.35">
      <c r="A11" s="133"/>
      <c r="B11" s="136"/>
      <c r="C11" s="74" t="s">
        <v>124</v>
      </c>
      <c r="D11" s="51" t="s">
        <v>56</v>
      </c>
      <c r="E11" s="51">
        <v>32</v>
      </c>
      <c r="F11" s="51">
        <v>32</v>
      </c>
      <c r="G11" s="51"/>
      <c r="H11" s="51"/>
      <c r="I11" s="51"/>
      <c r="J11" s="51" t="str">
        <f t="shared" si="0"/>
        <v>IdentificadorZonaComun(ZonaComun)</v>
      </c>
      <c r="K11" s="51" t="s">
        <v>59</v>
      </c>
      <c r="L11" s="51" t="s">
        <v>56</v>
      </c>
      <c r="M11" s="51">
        <v>32</v>
      </c>
      <c r="N11" s="51">
        <v>32</v>
      </c>
      <c r="O11" s="51"/>
      <c r="P11" s="51"/>
      <c r="Q11" s="51"/>
      <c r="R11" s="68" t="str">
        <f t="shared" si="1"/>
        <v>Atributo que contiene la informacion del IdentificadorZonaComun del objeto dominio   en el contexto de Agendas.</v>
      </c>
      <c r="S11" s="152"/>
    </row>
    <row r="12" spans="1:19" ht="30" thickTop="1" thickBot="1" x14ac:dyDescent="0.35">
      <c r="A12" s="133"/>
      <c r="B12" s="136"/>
      <c r="C12" s="74" t="s">
        <v>125</v>
      </c>
      <c r="D12" s="51" t="s">
        <v>58</v>
      </c>
      <c r="E12" s="51">
        <v>3</v>
      </c>
      <c r="F12" s="51">
        <v>50</v>
      </c>
      <c r="G12" s="51"/>
      <c r="H12" s="51"/>
      <c r="I12" s="51"/>
      <c r="J12" s="51" t="str">
        <f t="shared" si="0"/>
        <v>nombreZonaComun(ZonaComun)</v>
      </c>
      <c r="K12" s="51" t="s">
        <v>59</v>
      </c>
      <c r="L12" s="51" t="s">
        <v>58</v>
      </c>
      <c r="M12" s="51">
        <v>3</v>
      </c>
      <c r="N12" s="51">
        <v>50</v>
      </c>
      <c r="O12" s="51"/>
      <c r="P12" s="51"/>
      <c r="Q12" s="51"/>
      <c r="R12" s="68" t="str">
        <f t="shared" si="1"/>
        <v>Atributo que contiene la informacion del nombreZonaComun del objeto dominio   en el contexto de Agendas.</v>
      </c>
      <c r="S12" s="152"/>
    </row>
    <row r="13" spans="1:19" ht="44.4" thickTop="1" thickBot="1" x14ac:dyDescent="0.35">
      <c r="A13" s="133"/>
      <c r="B13" s="136"/>
      <c r="C13" s="74" t="s">
        <v>126</v>
      </c>
      <c r="D13" s="51" t="s">
        <v>93</v>
      </c>
      <c r="E13" s="51">
        <v>1</v>
      </c>
      <c r="F13" s="51">
        <v>4</v>
      </c>
      <c r="G13" s="51"/>
      <c r="H13" s="51"/>
      <c r="I13" s="51"/>
      <c r="J13" s="51" t="str">
        <f t="shared" si="0"/>
        <v>capacidadPersonasZonaComun(ZonaComun)</v>
      </c>
      <c r="K13" s="51" t="s">
        <v>59</v>
      </c>
      <c r="L13" s="51" t="s">
        <v>93</v>
      </c>
      <c r="M13" s="51">
        <v>1</v>
      </c>
      <c r="N13" s="51">
        <v>4</v>
      </c>
      <c r="O13" s="51"/>
      <c r="P13" s="51"/>
      <c r="Q13" s="51"/>
      <c r="R13" s="68" t="str">
        <f t="shared" si="1"/>
        <v>Atributo que contiene la informacion del capacidadPersonasZonaComun del objeto dominio   en el contexto de Agendas.</v>
      </c>
      <c r="S13" s="152"/>
    </row>
    <row r="14" spans="1:19" ht="30" thickTop="1" thickBot="1" x14ac:dyDescent="0.35">
      <c r="A14" s="133"/>
      <c r="B14" s="136"/>
      <c r="C14" s="74" t="s">
        <v>127</v>
      </c>
      <c r="D14" s="51" t="s">
        <v>58</v>
      </c>
      <c r="E14" s="51">
        <v>0</v>
      </c>
      <c r="F14" s="51">
        <v>255</v>
      </c>
      <c r="G14" s="51"/>
      <c r="H14" s="51"/>
      <c r="I14" s="51"/>
      <c r="J14" s="51" t="str">
        <f t="shared" si="0"/>
        <v>decripcionZonaComun(ZonaComun)</v>
      </c>
      <c r="K14" s="51" t="s">
        <v>59</v>
      </c>
      <c r="L14" s="51" t="s">
        <v>58</v>
      </c>
      <c r="M14" s="51">
        <v>0</v>
      </c>
      <c r="N14" s="51">
        <v>255</v>
      </c>
      <c r="O14" s="51"/>
      <c r="P14" s="51"/>
      <c r="Q14" s="51"/>
      <c r="R14" s="68" t="str">
        <f t="shared" si="1"/>
        <v>Atributo que contiene la informacion del decripcionZonaComun del objeto dominio   en el contexto de Agendas.</v>
      </c>
      <c r="S14" s="152"/>
    </row>
    <row r="15" spans="1:19" ht="30" thickTop="1" thickBot="1" x14ac:dyDescent="0.35">
      <c r="A15" s="133"/>
      <c r="B15" s="137"/>
      <c r="C15" s="74" t="s">
        <v>128</v>
      </c>
      <c r="D15" s="51" t="s">
        <v>93</v>
      </c>
      <c r="E15" s="51">
        <v>1</v>
      </c>
      <c r="F15" s="51">
        <v>5</v>
      </c>
      <c r="G15" s="51"/>
      <c r="H15" s="51">
        <v>0</v>
      </c>
      <c r="I15" s="51">
        <v>3600</v>
      </c>
      <c r="J15" s="51" t="str">
        <f t="shared" si="0"/>
        <v>tiempoUsoZonaComun(ZonaComun)</v>
      </c>
      <c r="K15" s="51" t="s">
        <v>59</v>
      </c>
      <c r="L15" s="51" t="s">
        <v>93</v>
      </c>
      <c r="M15" s="51">
        <v>1</v>
      </c>
      <c r="N15" s="51">
        <v>5</v>
      </c>
      <c r="O15" s="51"/>
      <c r="P15" s="51">
        <v>0</v>
      </c>
      <c r="Q15" s="51">
        <v>3600</v>
      </c>
      <c r="R15" s="68" t="str">
        <f t="shared" si="1"/>
        <v>Atributo que contiene la informacion del tiempoUsoZonaComun del objeto dominio   en el contexto de Agendas.</v>
      </c>
      <c r="S15" s="152"/>
    </row>
    <row r="16" spans="1:19" ht="30" thickTop="1" thickBot="1" x14ac:dyDescent="0.35">
      <c r="A16" s="133"/>
      <c r="B16" s="157" t="s">
        <v>64</v>
      </c>
      <c r="C16" s="50" t="s">
        <v>55</v>
      </c>
      <c r="D16" s="31" t="s">
        <v>56</v>
      </c>
      <c r="E16" s="31">
        <v>32</v>
      </c>
      <c r="F16" s="31">
        <v>32</v>
      </c>
      <c r="G16" s="31"/>
      <c r="H16" s="31"/>
      <c r="I16" s="31"/>
      <c r="J16" s="31" t="str">
        <f>_xlfn.CONCAT(C16,$B$16)</f>
        <v>identificadorAgenda</v>
      </c>
      <c r="K16" s="31" t="s">
        <v>59</v>
      </c>
      <c r="L16" s="31" t="s">
        <v>56</v>
      </c>
      <c r="M16" s="31">
        <v>32</v>
      </c>
      <c r="N16" s="31">
        <v>32</v>
      </c>
      <c r="O16" s="31"/>
      <c r="P16" s="31"/>
      <c r="Q16" s="31"/>
      <c r="R16" s="40" t="str">
        <f>_xlfn.CONCAT("Atributo que contiene la informacion del ",C16," del objeto dominio ",B16,"  en el contexto de ",$A$5,".")</f>
        <v>Atributo que contiene la informacion del identificador del objeto dominio Agenda  en el contexto de Agendas.</v>
      </c>
      <c r="S16" s="152"/>
    </row>
    <row r="17" spans="1:19" ht="30" thickTop="1" thickBot="1" x14ac:dyDescent="0.35">
      <c r="A17" s="133"/>
      <c r="B17" s="157"/>
      <c r="C17" s="50" t="s">
        <v>4</v>
      </c>
      <c r="D17" s="31" t="s">
        <v>58</v>
      </c>
      <c r="E17" s="31">
        <v>1</v>
      </c>
      <c r="F17" s="31">
        <v>50</v>
      </c>
      <c r="G17" s="31"/>
      <c r="H17" s="31"/>
      <c r="I17" s="31"/>
      <c r="J17" s="31" t="str">
        <f t="shared" ref="J17:J19" si="2">_xlfn.CONCAT(C17,$B$16)</f>
        <v>NombreAgenda</v>
      </c>
      <c r="K17" s="31" t="s">
        <v>59</v>
      </c>
      <c r="L17" s="31" t="s">
        <v>58</v>
      </c>
      <c r="M17" s="31">
        <v>1</v>
      </c>
      <c r="N17" s="31">
        <v>50</v>
      </c>
      <c r="O17" s="31"/>
      <c r="P17" s="31"/>
      <c r="Q17" s="31"/>
      <c r="R17" s="40" t="str">
        <f t="shared" ref="R17:R19" si="3">_xlfn.CONCAT("Atributo que contiene la informacion del ",C17," del objeto dominio ",B17,"  en el contexto de ",$A$5,".")</f>
        <v>Atributo que contiene la informacion del Nombre del objeto dominio   en el contexto de Agendas.</v>
      </c>
      <c r="S17" s="152"/>
    </row>
    <row r="18" spans="1:19" ht="30" thickTop="1" thickBot="1" x14ac:dyDescent="0.35">
      <c r="A18" s="133"/>
      <c r="B18" s="157"/>
      <c r="C18" s="31" t="s">
        <v>90</v>
      </c>
      <c r="D18" s="31" t="s">
        <v>58</v>
      </c>
      <c r="E18" s="31"/>
      <c r="F18" s="31"/>
      <c r="G18" s="31"/>
      <c r="H18" s="31"/>
      <c r="I18" s="31"/>
      <c r="J18" s="31" t="str">
        <f t="shared" si="2"/>
        <v>fechaHoraInicioAgenda</v>
      </c>
      <c r="K18" s="31" t="s">
        <v>59</v>
      </c>
      <c r="L18" s="31" t="s">
        <v>58</v>
      </c>
      <c r="M18" s="31"/>
      <c r="N18" s="31"/>
      <c r="O18" s="31"/>
      <c r="P18" s="31"/>
      <c r="Q18" s="31"/>
      <c r="R18" s="40" t="str">
        <f t="shared" si="3"/>
        <v>Atributo que contiene la informacion del fechaHoraInicio del objeto dominio   en el contexto de Agendas.</v>
      </c>
      <c r="S18" s="152"/>
    </row>
    <row r="19" spans="1:19" ht="30" thickTop="1" thickBot="1" x14ac:dyDescent="0.35">
      <c r="A19" s="133"/>
      <c r="B19" s="157"/>
      <c r="C19" s="31" t="s">
        <v>94</v>
      </c>
      <c r="D19" s="31" t="s">
        <v>58</v>
      </c>
      <c r="E19" s="31"/>
      <c r="F19" s="31"/>
      <c r="G19" s="31"/>
      <c r="H19" s="31"/>
      <c r="I19" s="31"/>
      <c r="J19" s="31" t="str">
        <f t="shared" si="2"/>
        <v>fechaHoraFinAgenda</v>
      </c>
      <c r="K19" s="31" t="s">
        <v>59</v>
      </c>
      <c r="L19" s="31" t="s">
        <v>58</v>
      </c>
      <c r="M19" s="31"/>
      <c r="N19" s="31"/>
      <c r="O19" s="31"/>
      <c r="P19" s="31"/>
      <c r="Q19" s="31"/>
      <c r="R19" s="40" t="str">
        <f t="shared" si="3"/>
        <v>Atributo que contiene la informacion del fechaHoraFin del objeto dominio   en el contexto de Agendas.</v>
      </c>
      <c r="S19" s="152"/>
    </row>
    <row r="20" spans="1:19" ht="15.6" thickTop="1" thickBot="1" x14ac:dyDescent="0.35">
      <c r="A20" s="133"/>
      <c r="B20" s="157"/>
      <c r="C20" s="31" t="s">
        <v>109</v>
      </c>
      <c r="D20" s="75" t="s">
        <v>41</v>
      </c>
      <c r="E20" s="31"/>
      <c r="F20" s="31"/>
      <c r="G20" s="31"/>
      <c r="H20" s="31"/>
      <c r="I20" s="31"/>
      <c r="J20" s="31"/>
      <c r="K20" s="31"/>
      <c r="L20" s="31"/>
      <c r="M20" s="31"/>
      <c r="N20" s="31"/>
      <c r="O20" s="31"/>
      <c r="P20" s="31"/>
      <c r="Q20" s="31"/>
      <c r="R20" s="40"/>
      <c r="S20" s="152"/>
    </row>
    <row r="21" spans="1:19" ht="30" thickTop="1" thickBot="1" x14ac:dyDescent="0.35">
      <c r="A21" s="133"/>
      <c r="B21" s="154" t="s">
        <v>65</v>
      </c>
      <c r="C21" s="32" t="s">
        <v>55</v>
      </c>
      <c r="D21" s="32" t="s">
        <v>56</v>
      </c>
      <c r="E21" s="32">
        <v>32</v>
      </c>
      <c r="F21" s="32">
        <v>32</v>
      </c>
      <c r="G21" s="32"/>
      <c r="H21" s="32"/>
      <c r="I21" s="32"/>
      <c r="J21" s="32" t="str">
        <f>_xlfn.CONCAT(C21,$B$21)</f>
        <v>identificadorTurno</v>
      </c>
      <c r="K21" s="32" t="s">
        <v>59</v>
      </c>
      <c r="L21" s="32" t="s">
        <v>56</v>
      </c>
      <c r="M21" s="32">
        <v>32</v>
      </c>
      <c r="N21" s="32">
        <v>32</v>
      </c>
      <c r="O21" s="32"/>
      <c r="P21" s="32"/>
      <c r="Q21" s="32"/>
      <c r="R21" s="41" t="str">
        <f>_xlfn.CONCAT("Atributo que contiene la informacion del ",C21," del objeto dominio ",B21,"  en el contexto de ",$A$5,".")</f>
        <v>Atributo que contiene la informacion del identificador del objeto dominio Turno  en el contexto de Agendas.</v>
      </c>
      <c r="S21" s="152"/>
    </row>
    <row r="22" spans="1:19" ht="30" thickTop="1" thickBot="1" x14ac:dyDescent="0.35">
      <c r="A22" s="133"/>
      <c r="B22" s="154"/>
      <c r="C22" s="32" t="s">
        <v>129</v>
      </c>
      <c r="D22" s="32" t="s">
        <v>58</v>
      </c>
      <c r="E22" s="32">
        <v>1</v>
      </c>
      <c r="F22" s="32">
        <v>50</v>
      </c>
      <c r="G22" s="32"/>
      <c r="H22" s="32"/>
      <c r="I22" s="32"/>
      <c r="J22" s="32" t="str">
        <f t="shared" ref="J22:J25" si="4">_xlfn.CONCAT(C22,$B$21)</f>
        <v>numeroTurnoTurno</v>
      </c>
      <c r="K22" s="32" t="s">
        <v>59</v>
      </c>
      <c r="L22" s="32" t="s">
        <v>58</v>
      </c>
      <c r="M22" s="32">
        <v>1</v>
      </c>
      <c r="N22" s="32">
        <v>50</v>
      </c>
      <c r="O22" s="32"/>
      <c r="P22" s="32"/>
      <c r="Q22" s="32"/>
      <c r="R22" s="41" t="str">
        <f t="shared" ref="R22:R25" si="5">_xlfn.CONCAT("Atributo que contiene la informacion del ",C22," del objeto dominio ",B22,"  en el contexto de ",$A$5,".")</f>
        <v>Atributo que contiene la informacion del numeroTurno del objeto dominio   en el contexto de Agendas.</v>
      </c>
      <c r="S22" s="152"/>
    </row>
    <row r="23" spans="1:19" ht="30" thickTop="1" thickBot="1" x14ac:dyDescent="0.35">
      <c r="A23" s="133"/>
      <c r="B23" s="154"/>
      <c r="C23" s="32" t="s">
        <v>130</v>
      </c>
      <c r="D23" s="32" t="s">
        <v>131</v>
      </c>
      <c r="E23" s="32"/>
      <c r="F23" s="32"/>
      <c r="G23" s="32"/>
      <c r="H23" s="32"/>
      <c r="I23" s="32"/>
      <c r="J23" s="32" t="str">
        <f t="shared" si="4"/>
        <v>horaInicioTurno</v>
      </c>
      <c r="K23" s="32" t="s">
        <v>59</v>
      </c>
      <c r="L23" s="32"/>
      <c r="M23" s="32"/>
      <c r="N23" s="32"/>
      <c r="O23" s="32"/>
      <c r="P23" s="32"/>
      <c r="Q23" s="32"/>
      <c r="R23" s="41" t="str">
        <f t="shared" si="5"/>
        <v>Atributo que contiene la informacion del horaInicio del objeto dominio   en el contexto de Agendas.</v>
      </c>
      <c r="S23" s="152"/>
    </row>
    <row r="24" spans="1:19" ht="30" thickTop="1" thickBot="1" x14ac:dyDescent="0.35">
      <c r="A24" s="133"/>
      <c r="B24" s="154"/>
      <c r="C24" s="32" t="s">
        <v>132</v>
      </c>
      <c r="D24" s="32" t="s">
        <v>131</v>
      </c>
      <c r="E24" s="32"/>
      <c r="F24" s="32"/>
      <c r="G24" s="32"/>
      <c r="H24" s="32"/>
      <c r="I24" s="32"/>
      <c r="J24" s="32" t="str">
        <f t="shared" si="4"/>
        <v>horaFinTurno</v>
      </c>
      <c r="K24" s="32" t="s">
        <v>59</v>
      </c>
      <c r="L24" s="32"/>
      <c r="M24" s="32"/>
      <c r="N24" s="32"/>
      <c r="O24" s="32"/>
      <c r="P24" s="32"/>
      <c r="Q24" s="32"/>
      <c r="R24" s="41" t="str">
        <f t="shared" si="5"/>
        <v>Atributo que contiene la informacion del horaFin del objeto dominio   en el contexto de Agendas.</v>
      </c>
      <c r="S24" s="152"/>
    </row>
    <row r="25" spans="1:19" ht="30" thickTop="1" thickBot="1" x14ac:dyDescent="0.35">
      <c r="A25" s="133"/>
      <c r="B25" s="154"/>
      <c r="C25" s="32" t="s">
        <v>133</v>
      </c>
      <c r="D25" s="32" t="s">
        <v>134</v>
      </c>
      <c r="E25" s="32"/>
      <c r="F25" s="32"/>
      <c r="G25" s="32"/>
      <c r="H25" s="32"/>
      <c r="I25" s="32"/>
      <c r="J25" s="32" t="str">
        <f t="shared" si="4"/>
        <v>estadoTurno</v>
      </c>
      <c r="K25" s="32" t="s">
        <v>59</v>
      </c>
      <c r="L25" s="32"/>
      <c r="M25" s="32"/>
      <c r="N25" s="32"/>
      <c r="O25" s="32"/>
      <c r="P25" s="32"/>
      <c r="Q25" s="32"/>
      <c r="R25" s="41" t="str">
        <f t="shared" si="5"/>
        <v>Atributo que contiene la informacion del estado del objeto dominio   en el contexto de Agendas.</v>
      </c>
      <c r="S25" s="152"/>
    </row>
    <row r="26" spans="1:19" ht="15.6" thickTop="1" thickBot="1" x14ac:dyDescent="0.35">
      <c r="A26" s="156"/>
      <c r="B26" s="154"/>
      <c r="C26" s="32" t="s">
        <v>110</v>
      </c>
      <c r="D26" s="76" t="s">
        <v>64</v>
      </c>
      <c r="E26" s="32"/>
      <c r="F26" s="32"/>
      <c r="G26" s="32"/>
      <c r="H26" s="32"/>
      <c r="I26" s="32"/>
      <c r="J26" s="32"/>
      <c r="K26" s="32"/>
      <c r="L26" s="32"/>
      <c r="M26" s="32"/>
      <c r="N26" s="32"/>
      <c r="O26" s="32"/>
      <c r="P26" s="32"/>
      <c r="Q26" s="32"/>
      <c r="R26" s="41"/>
      <c r="S26" s="153"/>
    </row>
    <row r="27" spans="1:19" ht="15" thickTop="1" x14ac:dyDescent="0.3"/>
  </sheetData>
  <mergeCells count="11">
    <mergeCell ref="S5:S26"/>
    <mergeCell ref="B21:B26"/>
    <mergeCell ref="B1:S1"/>
    <mergeCell ref="A2:S2"/>
    <mergeCell ref="A3:I3"/>
    <mergeCell ref="J3:Q3"/>
    <mergeCell ref="R3:R4"/>
    <mergeCell ref="S3:S4"/>
    <mergeCell ref="A5:A26"/>
    <mergeCell ref="B16:B20"/>
    <mergeCell ref="B5:B15"/>
  </mergeCells>
  <hyperlinks>
    <hyperlink ref="D20" location="'Reserva-0001'!B5" display="ZonaComun" xr:uid="{9609D778-59AA-40D8-8622-3E7E74B0DA78}"/>
    <hyperlink ref="D26" location="'Reserva-0001'!B16" display="Agenda" xr:uid="{965909F4-EE4F-44DD-B44D-2F2AEA99181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4C5E7-072D-46C9-A943-F12FD1E94927}">
  <dimension ref="A1:S13"/>
  <sheetViews>
    <sheetView zoomScale="53" workbookViewId="0">
      <selection activeCell="N27" sqref="N27"/>
    </sheetView>
  </sheetViews>
  <sheetFormatPr baseColWidth="10" defaultColWidth="11.44140625" defaultRowHeight="14.4" x14ac:dyDescent="0.3"/>
  <cols>
    <col min="1" max="1" width="14.6640625" style="13" customWidth="1"/>
    <col min="2" max="2" width="21" style="13" customWidth="1"/>
    <col min="3" max="3" width="35.5546875" style="13" bestFit="1" customWidth="1"/>
    <col min="4" max="4" width="19.44140625" style="13" customWidth="1"/>
    <col min="5" max="5" width="16.109375" style="13" bestFit="1" customWidth="1"/>
    <col min="6" max="6" width="16.44140625" style="13" bestFit="1" customWidth="1"/>
    <col min="7" max="7" width="9.44140625" style="13" bestFit="1" customWidth="1"/>
    <col min="8" max="8" width="12.5546875" style="13" bestFit="1" customWidth="1"/>
    <col min="9" max="9" width="12" style="13" bestFit="1" customWidth="1"/>
    <col min="10" max="10" width="44.109375" style="13" bestFit="1" customWidth="1"/>
    <col min="11" max="11" width="23.5546875" style="13" bestFit="1" customWidth="1"/>
    <col min="12" max="12" width="16.5546875" style="13" bestFit="1" customWidth="1"/>
    <col min="13" max="13" width="16.109375" style="13" bestFit="1" customWidth="1"/>
    <col min="14" max="14" width="16.44140625" style="13" bestFit="1" customWidth="1"/>
    <col min="15" max="15" width="9.44140625" style="13" bestFit="1" customWidth="1"/>
    <col min="16" max="16" width="12.5546875" style="13" bestFit="1" customWidth="1"/>
    <col min="17" max="17" width="12" style="13" bestFit="1" customWidth="1"/>
    <col min="18" max="18" width="58" style="26" customWidth="1"/>
    <col min="19" max="19" width="17.109375" style="13" bestFit="1" customWidth="1"/>
    <col min="20" max="16384" width="11.44140625" style="13"/>
  </cols>
  <sheetData>
    <row r="1" spans="1:19" x14ac:dyDescent="0.3">
      <c r="A1" s="12" t="s">
        <v>39</v>
      </c>
      <c r="B1" s="120" t="str">
        <f>Reservas!D8</f>
        <v>Reserva-0001</v>
      </c>
      <c r="C1" s="120"/>
      <c r="D1" s="120"/>
      <c r="E1" s="120"/>
      <c r="F1" s="120"/>
      <c r="G1" s="120"/>
      <c r="H1" s="120"/>
      <c r="I1" s="120"/>
      <c r="J1" s="120"/>
      <c r="K1" s="120"/>
      <c r="L1" s="120"/>
      <c r="M1" s="120"/>
      <c r="N1" s="120"/>
      <c r="O1" s="120"/>
      <c r="P1" s="120"/>
      <c r="Q1" s="120"/>
      <c r="R1" s="120"/>
      <c r="S1" s="121"/>
    </row>
    <row r="2" spans="1:19" x14ac:dyDescent="0.3">
      <c r="A2" s="113"/>
      <c r="B2" s="114"/>
      <c r="C2" s="114"/>
      <c r="D2" s="114"/>
      <c r="E2" s="114"/>
      <c r="F2" s="114"/>
      <c r="G2" s="114"/>
      <c r="H2" s="114"/>
      <c r="I2" s="114"/>
      <c r="J2" s="114"/>
      <c r="K2" s="114"/>
      <c r="L2" s="114"/>
      <c r="M2" s="114"/>
      <c r="N2" s="114"/>
      <c r="O2" s="114"/>
      <c r="P2" s="114"/>
      <c r="Q2" s="114"/>
      <c r="R2" s="114"/>
      <c r="S2" s="115"/>
    </row>
    <row r="3" spans="1:19" x14ac:dyDescent="0.3">
      <c r="A3" s="123" t="s">
        <v>42</v>
      </c>
      <c r="B3" s="124"/>
      <c r="C3" s="124"/>
      <c r="D3" s="124"/>
      <c r="E3" s="124"/>
      <c r="F3" s="124"/>
      <c r="G3" s="124"/>
      <c r="H3" s="124"/>
      <c r="I3" s="124"/>
      <c r="J3" s="124" t="s">
        <v>43</v>
      </c>
      <c r="K3" s="124"/>
      <c r="L3" s="124"/>
      <c r="M3" s="124"/>
      <c r="N3" s="124"/>
      <c r="O3" s="124"/>
      <c r="P3" s="124"/>
      <c r="Q3" s="124"/>
      <c r="R3" s="148" t="s">
        <v>29</v>
      </c>
      <c r="S3" s="150" t="s">
        <v>44</v>
      </c>
    </row>
    <row r="4" spans="1:19" ht="15" thickBot="1" x14ac:dyDescent="0.35">
      <c r="A4" s="29" t="s">
        <v>28</v>
      </c>
      <c r="B4" s="30" t="s">
        <v>45</v>
      </c>
      <c r="C4" s="30" t="s">
        <v>46</v>
      </c>
      <c r="D4" s="30" t="s">
        <v>47</v>
      </c>
      <c r="E4" s="30" t="s">
        <v>48</v>
      </c>
      <c r="F4" s="30" t="s">
        <v>49</v>
      </c>
      <c r="G4" s="30" t="s">
        <v>50</v>
      </c>
      <c r="H4" s="30" t="s">
        <v>51</v>
      </c>
      <c r="I4" s="30" t="s">
        <v>52</v>
      </c>
      <c r="J4" s="30" t="s">
        <v>53</v>
      </c>
      <c r="K4" s="30" t="s">
        <v>54</v>
      </c>
      <c r="L4" s="30" t="s">
        <v>47</v>
      </c>
      <c r="M4" s="30" t="s">
        <v>48</v>
      </c>
      <c r="N4" s="30" t="s">
        <v>49</v>
      </c>
      <c r="O4" s="30" t="s">
        <v>50</v>
      </c>
      <c r="P4" s="30" t="s">
        <v>51</v>
      </c>
      <c r="Q4" s="30" t="s">
        <v>52</v>
      </c>
      <c r="R4" s="149"/>
      <c r="S4" s="151"/>
    </row>
    <row r="5" spans="1:19" ht="30" thickTop="1" thickBot="1" x14ac:dyDescent="0.35">
      <c r="A5" s="158" t="s">
        <v>80</v>
      </c>
      <c r="B5" s="166" t="s">
        <v>82</v>
      </c>
      <c r="C5" s="31" t="s">
        <v>111</v>
      </c>
      <c r="D5" s="31" t="s">
        <v>58</v>
      </c>
      <c r="E5" s="31">
        <v>1</v>
      </c>
      <c r="F5" s="31">
        <v>20</v>
      </c>
      <c r="G5" s="31"/>
      <c r="H5" s="31"/>
      <c r="I5" s="31"/>
      <c r="J5" s="31" t="str">
        <f t="shared" ref="J5" si="0">_xlfn.CONCAT(C5,$B$5)</f>
        <v>TipoInmueble(Nombre)Inmueble</v>
      </c>
      <c r="K5" s="31" t="s">
        <v>59</v>
      </c>
      <c r="L5" s="31" t="s">
        <v>58</v>
      </c>
      <c r="M5" s="31">
        <v>1</v>
      </c>
      <c r="N5" s="31">
        <v>20</v>
      </c>
      <c r="O5" s="31"/>
      <c r="P5" s="31"/>
      <c r="Q5" s="31"/>
      <c r="R5" s="40" t="str">
        <f>_xlfn.CONCAT("Atributo que contiene la informacion del ",C5," del objeto dominio ",B5,"  en el contexto de ",$A$5,".")</f>
        <v>Atributo que contiene la informacion del TipoInmueble(Nombre) del objeto dominio Inmueble  en el contexto de Residentes.</v>
      </c>
      <c r="S5" s="161" t="str">
        <f>B9</f>
        <v>Residente</v>
      </c>
    </row>
    <row r="6" spans="1:19" ht="46.5" customHeight="1" thickTop="1" thickBot="1" x14ac:dyDescent="0.35">
      <c r="A6" s="159"/>
      <c r="B6" s="167"/>
      <c r="C6" s="31" t="s">
        <v>112</v>
      </c>
      <c r="D6" s="31" t="s">
        <v>56</v>
      </c>
      <c r="E6" s="31">
        <v>32</v>
      </c>
      <c r="F6" s="31">
        <v>32</v>
      </c>
      <c r="G6" s="31"/>
      <c r="H6" s="31"/>
      <c r="I6" s="31"/>
      <c r="J6" s="31" t="str">
        <f>_xlfn.CONCAT(C6,$B$5)</f>
        <v>TipoZonaInmueble(Identificador)Inmueble</v>
      </c>
      <c r="K6" s="31" t="s">
        <v>59</v>
      </c>
      <c r="L6" s="31" t="s">
        <v>56</v>
      </c>
      <c r="M6" s="31">
        <v>32</v>
      </c>
      <c r="N6" s="31">
        <v>32</v>
      </c>
      <c r="O6" s="31"/>
      <c r="P6" s="31"/>
      <c r="Q6" s="31"/>
      <c r="R6" s="40" t="str">
        <f t="shared" ref="R6:R8" si="1">_xlfn.CONCAT("Atributo que contiene la informacion del ",C6," del objeto dominio ",B6,"  en el contexto de ",$A$5,".")</f>
        <v>Atributo que contiene la informacion del TipoZonaInmueble(Identificador) del objeto dominio   en el contexto de Residentes.</v>
      </c>
      <c r="S6" s="152"/>
    </row>
    <row r="7" spans="1:19" ht="30" thickTop="1" thickBot="1" x14ac:dyDescent="0.35">
      <c r="A7" s="159"/>
      <c r="B7" s="167"/>
      <c r="C7" s="31" t="s">
        <v>113</v>
      </c>
      <c r="D7" s="31" t="s">
        <v>58</v>
      </c>
      <c r="E7" s="31">
        <v>1</v>
      </c>
      <c r="F7" s="31">
        <v>20</v>
      </c>
      <c r="G7" s="31"/>
      <c r="H7" s="31"/>
      <c r="I7" s="31"/>
      <c r="J7" s="31" t="str">
        <f t="shared" ref="J7" si="2">_xlfn.CONCAT(C7,$B$5)</f>
        <v>TipoZonaInmueble(Nombre)Inmueble</v>
      </c>
      <c r="K7" s="31" t="s">
        <v>59</v>
      </c>
      <c r="L7" s="31" t="s">
        <v>58</v>
      </c>
      <c r="M7" s="31">
        <v>1</v>
      </c>
      <c r="N7" s="31">
        <v>20</v>
      </c>
      <c r="O7" s="31"/>
      <c r="P7" s="31"/>
      <c r="Q7" s="31"/>
      <c r="R7" s="40" t="str">
        <f t="shared" si="1"/>
        <v>Atributo que contiene la informacion del TipoZonaInmueble(Nombre) del objeto dominio   en el contexto de Residentes.</v>
      </c>
      <c r="S7" s="152"/>
    </row>
    <row r="8" spans="1:19" ht="44.4" thickTop="1" thickBot="1" x14ac:dyDescent="0.35">
      <c r="A8" s="159"/>
      <c r="B8" s="168"/>
      <c r="C8" s="31" t="s">
        <v>114</v>
      </c>
      <c r="D8" s="31" t="s">
        <v>116</v>
      </c>
      <c r="E8" s="31">
        <v>1</v>
      </c>
      <c r="F8" s="31">
        <v>20</v>
      </c>
      <c r="G8" s="31"/>
      <c r="H8" s="31">
        <v>1</v>
      </c>
      <c r="I8" s="31">
        <v>200</v>
      </c>
      <c r="J8" s="31" t="str">
        <f t="shared" ref="J8" si="3">_xlfn.CONCAT(C8,$B$5)</f>
        <v>ZonaInmueble(NumeroZonaInmueble)Inmueble</v>
      </c>
      <c r="K8" s="31" t="s">
        <v>59</v>
      </c>
      <c r="L8" s="31" t="s">
        <v>116</v>
      </c>
      <c r="M8" s="31">
        <v>1</v>
      </c>
      <c r="N8" s="31">
        <v>20</v>
      </c>
      <c r="O8" s="31"/>
      <c r="P8" s="31">
        <v>1</v>
      </c>
      <c r="Q8" s="31">
        <v>200</v>
      </c>
      <c r="R8" s="40" t="str">
        <f t="shared" si="1"/>
        <v>Atributo que contiene la informacion del ZonaInmueble(NumeroZonaInmueble) del objeto dominio   en el contexto de Residentes.</v>
      </c>
      <c r="S8" s="152"/>
    </row>
    <row r="9" spans="1:19" ht="30" thickTop="1" thickBot="1" x14ac:dyDescent="0.35">
      <c r="A9" s="159"/>
      <c r="B9" s="163" t="s">
        <v>24</v>
      </c>
      <c r="C9" s="32" t="s">
        <v>55</v>
      </c>
      <c r="D9" s="32" t="s">
        <v>56</v>
      </c>
      <c r="E9" s="32">
        <v>32</v>
      </c>
      <c r="F9" s="32">
        <v>32</v>
      </c>
      <c r="G9" s="32"/>
      <c r="H9" s="32"/>
      <c r="I9" s="32"/>
      <c r="J9" s="32" t="str">
        <f>_xlfn.CONCAT(C9,$B$9)</f>
        <v>identificadorResidente</v>
      </c>
      <c r="K9" s="32" t="s">
        <v>59</v>
      </c>
      <c r="L9" s="32" t="s">
        <v>56</v>
      </c>
      <c r="M9" s="32">
        <v>32</v>
      </c>
      <c r="N9" s="32">
        <v>32</v>
      </c>
      <c r="O9" s="32"/>
      <c r="P9" s="32"/>
      <c r="Q9" s="32"/>
      <c r="R9" s="41" t="str">
        <f>_xlfn.CONCAT("Atributo que contiene la informacion del ",C9," del objeto dominio ",B9,"  en el contexto de ",$A$5,".")</f>
        <v>Atributo que contiene la informacion del identificador del objeto dominio Residente  en el contexto de Residentes.</v>
      </c>
      <c r="S9" s="152"/>
    </row>
    <row r="10" spans="1:19" ht="30" thickTop="1" thickBot="1" x14ac:dyDescent="0.35">
      <c r="A10" s="159"/>
      <c r="B10" s="164"/>
      <c r="C10" s="32" t="s">
        <v>57</v>
      </c>
      <c r="D10" s="32" t="s">
        <v>58</v>
      </c>
      <c r="E10" s="32">
        <v>1</v>
      </c>
      <c r="F10" s="32">
        <v>50</v>
      </c>
      <c r="G10" s="32"/>
      <c r="H10" s="32"/>
      <c r="I10" s="32"/>
      <c r="J10" s="32" t="str">
        <f t="shared" ref="J10:J11" si="4">_xlfn.CONCAT(C10,$B$9)</f>
        <v>nombreResidente</v>
      </c>
      <c r="K10" s="32" t="s">
        <v>59</v>
      </c>
      <c r="L10" s="32" t="s">
        <v>58</v>
      </c>
      <c r="M10" s="32">
        <v>1</v>
      </c>
      <c r="N10" s="32">
        <v>50</v>
      </c>
      <c r="O10" s="32"/>
      <c r="P10" s="32"/>
      <c r="Q10" s="32"/>
      <c r="R10" s="41" t="str">
        <f t="shared" ref="R10:R11" si="5">_xlfn.CONCAT("Atributo que contiene la informacion del ",C10," del objeto dominio ",B10,"  en el contexto de ",$A$5,".")</f>
        <v>Atributo que contiene la informacion del nombre del objeto dominio   en el contexto de Residentes.</v>
      </c>
      <c r="S10" s="152"/>
    </row>
    <row r="11" spans="1:19" ht="30" thickTop="1" thickBot="1" x14ac:dyDescent="0.35">
      <c r="A11" s="159"/>
      <c r="B11" s="164"/>
      <c r="C11" s="32" t="s">
        <v>117</v>
      </c>
      <c r="D11" s="32" t="s">
        <v>116</v>
      </c>
      <c r="E11" s="32"/>
      <c r="F11" s="32"/>
      <c r="G11" s="32"/>
      <c r="H11" s="32">
        <v>1</v>
      </c>
      <c r="I11" s="32">
        <v>100000000000</v>
      </c>
      <c r="J11" s="32" t="str">
        <f t="shared" si="4"/>
        <v>numeroDocumentoResidente</v>
      </c>
      <c r="K11" s="32" t="s">
        <v>59</v>
      </c>
      <c r="L11" s="32" t="s">
        <v>116</v>
      </c>
      <c r="M11" s="32"/>
      <c r="N11" s="32"/>
      <c r="O11" s="32"/>
      <c r="P11" s="32">
        <v>1</v>
      </c>
      <c r="Q11" s="32">
        <v>100000000000</v>
      </c>
      <c r="R11" s="41" t="str">
        <f t="shared" si="5"/>
        <v>Atributo que contiene la informacion del numeroDocumento del objeto dominio   en el contexto de Residentes.</v>
      </c>
      <c r="S11" s="152"/>
    </row>
    <row r="12" spans="1:19" ht="15.6" thickTop="1" thickBot="1" x14ac:dyDescent="0.35">
      <c r="A12" s="160"/>
      <c r="B12" s="165"/>
      <c r="C12" s="32" t="s">
        <v>115</v>
      </c>
      <c r="D12" s="32" t="s">
        <v>82</v>
      </c>
      <c r="E12" s="32"/>
      <c r="F12" s="32"/>
      <c r="G12" s="32"/>
      <c r="H12" s="32"/>
      <c r="I12" s="32"/>
      <c r="J12" s="32"/>
      <c r="K12" s="32"/>
      <c r="L12" s="32"/>
      <c r="M12" s="32"/>
      <c r="N12" s="32"/>
      <c r="O12" s="32"/>
      <c r="P12" s="32"/>
      <c r="Q12" s="32"/>
      <c r="R12" s="41"/>
      <c r="S12" s="162"/>
    </row>
    <row r="13" spans="1:19" ht="15" thickTop="1" x14ac:dyDescent="0.3"/>
  </sheetData>
  <mergeCells count="10">
    <mergeCell ref="A5:A12"/>
    <mergeCell ref="S5:S12"/>
    <mergeCell ref="B9:B12"/>
    <mergeCell ref="B1:S1"/>
    <mergeCell ref="A2:S2"/>
    <mergeCell ref="A3:I3"/>
    <mergeCell ref="J3:Q3"/>
    <mergeCell ref="R3:R4"/>
    <mergeCell ref="S3:S4"/>
    <mergeCell ref="B5:B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12</vt:i4>
      </vt:variant>
    </vt:vector>
  </HeadingPairs>
  <TitlesOfParts>
    <vt:vector size="12" baseType="lpstr">
      <vt:lpstr>Valores</vt:lpstr>
      <vt:lpstr>ContextMapping</vt:lpstr>
      <vt:lpstr>Contextos</vt:lpstr>
      <vt:lpstr>Conjuntos Residenciales</vt:lpstr>
      <vt:lpstr>Residentes</vt:lpstr>
      <vt:lpstr>Conjuntos.R Residentes-0001</vt:lpstr>
      <vt:lpstr>Agendas</vt:lpstr>
      <vt:lpstr>Turno Agenda-0001</vt:lpstr>
      <vt:lpstr>Agenda ConjuntosResidenciales-0</vt:lpstr>
      <vt:lpstr>Reservas</vt:lpstr>
      <vt:lpstr>Reserva-0001</vt:lpstr>
      <vt:lpstr>Reserva-0002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Felipe Velez Alcaraz</dc:creator>
  <cp:lastModifiedBy>Jose Zuluaga</cp:lastModifiedBy>
  <dcterms:created xsi:type="dcterms:W3CDTF">2024-08-25T01:55:20Z</dcterms:created>
  <dcterms:modified xsi:type="dcterms:W3CDTF">2024-11-04T07:40:13Z</dcterms:modified>
</cp:coreProperties>
</file>