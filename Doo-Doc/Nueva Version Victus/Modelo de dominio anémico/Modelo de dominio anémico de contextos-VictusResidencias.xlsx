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 de dominio anémico\"/>
    </mc:Choice>
  </mc:AlternateContent>
  <xr:revisionPtr revIDLastSave="0" documentId="13_ncr:1_{E636CC19-D5C4-402C-B0F8-7C9B6589C008}" xr6:coauthVersionLast="47" xr6:coauthVersionMax="47" xr10:uidLastSave="{00000000-0000-0000-0000-000000000000}"/>
  <bookViews>
    <workbookView xWindow="-120" yWindow="-120" windowWidth="38640" windowHeight="21120" firstSheet="7" activeTab="9" xr2:uid="{082AFB46-52C9-4E4C-AE4E-19443AA1B53B}"/>
  </bookViews>
  <sheets>
    <sheet name="Valores" sheetId="3" r:id="rId1"/>
    <sheet name="ContextMapping" sheetId="1" r:id="rId2"/>
    <sheet name="Contextos" sheetId="2" r:id="rId3"/>
    <sheet name="Conjuntos Residenciales" sheetId="4" r:id="rId4"/>
    <sheet name="Residentes" sheetId="5" r:id="rId5"/>
    <sheet name="Residente ConjutosResidenciales" sheetId="12" r:id="rId6"/>
    <sheet name="Agendas" sheetId="11" r:id="rId7"/>
    <sheet name="Agenda ConjuntosResidenciales-0" sheetId="13" r:id="rId8"/>
    <sheet name="Reservas" sheetId="6" r:id="rId9"/>
    <sheet name="Reserva-0001" sheetId="8" r:id="rId10"/>
    <sheet name="Reserva-0002"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 i="8" l="1"/>
  <c r="R23" i="8"/>
  <c r="R24" i="8"/>
  <c r="R25" i="8"/>
  <c r="R21" i="8"/>
  <c r="R17" i="8"/>
  <c r="R18" i="8"/>
  <c r="R19" i="8"/>
  <c r="R16" i="8"/>
  <c r="R15" i="8"/>
  <c r="R6" i="8"/>
  <c r="R7" i="8"/>
  <c r="R8" i="8"/>
  <c r="R9" i="8"/>
  <c r="R10" i="8"/>
  <c r="R11" i="8"/>
  <c r="R12" i="8"/>
  <c r="R13" i="8"/>
  <c r="R14" i="8"/>
  <c r="R5" i="8"/>
  <c r="R5" i="13"/>
  <c r="J22" i="8"/>
  <c r="J23" i="8"/>
  <c r="J24" i="8"/>
  <c r="J25" i="8"/>
  <c r="J21" i="8"/>
  <c r="J6" i="8"/>
  <c r="J7" i="8"/>
  <c r="J8" i="8"/>
  <c r="J9" i="8"/>
  <c r="J10" i="8"/>
  <c r="J11" i="8"/>
  <c r="J12" i="8"/>
  <c r="J13" i="8"/>
  <c r="J14" i="8"/>
  <c r="J15" i="8"/>
  <c r="J5" i="8"/>
  <c r="S5" i="10" l="1"/>
  <c r="R10" i="10"/>
  <c r="R11" i="10"/>
  <c r="R9" i="10"/>
  <c r="R8" i="10"/>
  <c r="R6" i="10"/>
  <c r="R7" i="10"/>
  <c r="R5" i="10"/>
  <c r="J10" i="10"/>
  <c r="J11" i="10"/>
  <c r="J9" i="10"/>
  <c r="J5" i="10" l="1"/>
  <c r="J6" i="10"/>
  <c r="J7" i="10"/>
  <c r="J16" i="8" l="1"/>
  <c r="J17" i="8"/>
  <c r="J18" i="8"/>
  <c r="J19" i="8"/>
  <c r="R17" i="13" l="1"/>
  <c r="R16" i="13"/>
  <c r="R13" i="13"/>
  <c r="R14" i="13"/>
  <c r="R15" i="13"/>
  <c r="R12" i="13"/>
  <c r="R6" i="13"/>
  <c r="R7" i="13"/>
  <c r="R8" i="13"/>
  <c r="R9" i="13"/>
  <c r="R5" i="12"/>
  <c r="J8" i="13"/>
  <c r="J15" i="13" l="1"/>
  <c r="J14" i="13"/>
  <c r="J13" i="13"/>
  <c r="J12" i="13"/>
  <c r="D8" i="5" l="1"/>
  <c r="J5" i="12"/>
  <c r="R11" i="12"/>
  <c r="R10" i="12"/>
  <c r="J10" i="12"/>
  <c r="R16" i="12"/>
  <c r="R15" i="12"/>
  <c r="R14" i="12"/>
  <c r="R13" i="12"/>
  <c r="R9" i="12"/>
  <c r="R8" i="12"/>
  <c r="J8" i="12"/>
  <c r="J14" i="12"/>
  <c r="J13" i="12"/>
  <c r="J17" i="13"/>
  <c r="J16" i="13"/>
  <c r="J5" i="13"/>
  <c r="J6" i="13"/>
  <c r="J7" i="13"/>
  <c r="J9" i="13"/>
  <c r="B1" i="13"/>
  <c r="D8" i="11"/>
  <c r="J8" i="10"/>
  <c r="B1" i="8" l="1"/>
  <c r="J9" i="12"/>
  <c r="J16" i="12"/>
  <c r="B1" i="12" l="1"/>
  <c r="J15" i="12"/>
  <c r="D9" i="6" l="1"/>
  <c r="D8" i="6"/>
  <c r="B3" i="11"/>
  <c r="B2" i="11"/>
  <c r="B1" i="11"/>
  <c r="E9" i="11"/>
  <c r="D9" i="11"/>
  <c r="E8" i="11"/>
  <c r="E10" i="4"/>
  <c r="D10" i="4"/>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<sst xmlns="http://schemas.openxmlformats.org/spreadsheetml/2006/main" count="455" uniqueCount="135">
  <si>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</si>
  <si>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</si>
  <si>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</si>
  <si>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</si>
  <si>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</si>
  <si>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</si>
  <si>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</si>
  <si>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</si>
  <si>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</si>
  <si>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</si>
  <si>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</si>
  <si>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</si>
  <si>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</si>
  <si>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</si>
  <si>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</si>
  <si>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</si>
  <si>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</si>
  <si>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</si>
  <si>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</si>
  <si>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</si>
  <si>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</si>
  <si>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</si>
  <si>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</si>
  <si>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</si>
  <si>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</si>
  <si>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</si>
  <si>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</si>
  <si>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</si>
  <si>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</si>
  <si>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</si>
  <si>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</si>
  <si>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</si>
  <si>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</si>
  <si>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</si>
  <si>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</si>
  <si>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</si>
  <si>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</si>
  <si>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</si>
  <si>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</si>
  <si>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</si>
  <si>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</si>
  <si>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</si>
  <si>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</si>
  <si>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</si>
  <si>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</si>
  <si>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</si>
  <si>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</si>
  <si>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</si>
  <si>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</si>
  <si>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</si>
  <si>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</si>
  <si>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</si>
  <si>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</si>
  <si>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</si>
  <si>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</si>
  <si>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</si>
  <si>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</si>
  <si>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</si>
  <si>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</si>
  <si>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</si>
  <si>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</si>
  <si>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</si>
  <si>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</si>
  <si>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</si>
  <si>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</si>
  <si>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</si>
  <si>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</si>
  <si>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</si>
  <si>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</si>
  <si>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</si>
  <si>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</si>
  <si>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</si>
  <si>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</si>
  <si>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</si>
  <si>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</si>
  <si>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</si>
  <si>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</si>
  <si>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</si>
  <si>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</si>
  <si>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</si>
  <si>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</si>
  <si>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</si>
  <si>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</si>
  <si>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</si>
  <si>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</si>
  <si>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</si>
  <si>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</si>
  <si>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</si>
  <si>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</si>
  <si>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</si>
  <si>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</si>
  <si>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tipoInmueble</t>
  </si>
  <si>
    <t>numeroVivienda</t>
  </si>
  <si>
    <t>Entero</t>
  </si>
  <si>
    <t>fechaHoraFin</t>
  </si>
  <si>
    <t>capacidadPersonas</t>
  </si>
  <si>
    <t>tiempoUso</t>
  </si>
  <si>
    <t>unidadTiempoUso</t>
  </si>
  <si>
    <t>TipoInmueble</t>
  </si>
  <si>
    <t>TipoZonaInmueble</t>
  </si>
  <si>
    <t>ConjutosResidenciales</t>
  </si>
  <si>
    <t>zonaInmueble</t>
  </si>
  <si>
    <t>tipoZonaInmueble</t>
  </si>
  <si>
    <t>ConjuntosResidenciales</t>
  </si>
  <si>
    <t>UnidadTiempoUso</t>
  </si>
  <si>
    <t>abreviatura</t>
  </si>
  <si>
    <t>enBase</t>
  </si>
  <si>
    <t>Logico</t>
  </si>
  <si>
    <t>descripcion</t>
  </si>
  <si>
    <t>zonaComun</t>
  </si>
  <si>
    <t>agenda</t>
  </si>
  <si>
    <t>TipoInmueble(Nombre)</t>
  </si>
  <si>
    <t>TipoZonaInmueble(Identificador)</t>
  </si>
  <si>
    <t>TipoZonaInmueble(Nombre)</t>
  </si>
  <si>
    <t>ZonaInmueble(NumeroZonaInmueble)</t>
  </si>
  <si>
    <t>inmueble</t>
  </si>
  <si>
    <t>entero</t>
  </si>
  <si>
    <t>numeroDocumento</t>
  </si>
  <si>
    <t>identificadorConjuntoResidencial</t>
  </si>
  <si>
    <t>nombreConjuntoResidencial</t>
  </si>
  <si>
    <t>identificadorUnidadTiempoUso</t>
  </si>
  <si>
    <t>nombreUnidadTiempoUso</t>
  </si>
  <si>
    <t>abreviaturaUnidadTiempoUso</t>
  </si>
  <si>
    <t>enBaseUnidadTiempoUso</t>
  </si>
  <si>
    <t>IdentificadorZonaComun</t>
  </si>
  <si>
    <t>nombreZonaComun</t>
  </si>
  <si>
    <t>capacidadPersonasZonaComun</t>
  </si>
  <si>
    <t>decripcionZonaComun</t>
  </si>
  <si>
    <t>tiempoUsoZonaComun</t>
  </si>
  <si>
    <t>numeroTurno</t>
  </si>
  <si>
    <t>horaInicio</t>
  </si>
  <si>
    <t>Fecha-Tiempo</t>
  </si>
  <si>
    <t>horaFin</t>
  </si>
  <si>
    <t>estado</t>
  </si>
  <si>
    <t>Lógico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</si>
</sst>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
      <u/>
      <sz val="11"/>
      <color theme="1"/>
      <name val="Aptos Narrow"/>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s>
  <borders count="3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thick">
        <color indexed="64"/>
      </right>
      <top style="medium">
        <color indexed="64"/>
      </top>
      <bottom/>
      <diagonal/>
    </border>
    <border>
      <left/>
      <right style="medium">
        <color indexed="64"/>
      </right>
      <top style="thin">
        <color indexed="64"/>
      </top>
      <bottom/>
      <diagonal/>
    </border>
    <border>
      <left style="medium">
        <color indexed="64"/>
      </left>
      <right style="medium">
        <color indexed="64"/>
      </right>
      <top/>
      <bottom style="thick">
        <color indexed="64"/>
      </bottom>
      <diagonal/>
    </border>
  </borders>
  <cellStyleXfs count="2">
    <xf numFmtId="0" fontId="0" fillId="0" borderId="0"/>
    <xf numFmtId="0" fontId="2" fillId="0" borderId="0" applyNumberFormat="0" applyFill="0" applyBorder="0" applyAlignment="0" applyProtection="0"/>
  </cellStyleXfs>
  <cellXfs count="178">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6" xfId="0" applyFill="1" applyBorder="1" applyAlignment="1">
      <alignment vertical="center"/>
    </xf>
    <xf numFmtId="0" fontId="0" fillId="9" borderId="16" xfId="0" applyFill="1" applyBorder="1" applyAlignment="1">
      <alignment vertical="center"/>
    </xf>
    <xf numFmtId="0" fontId="3" fillId="4" borderId="19"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0" xfId="0" applyFill="1" applyBorder="1" applyAlignment="1">
      <alignment vertical="center" wrapText="1"/>
    </xf>
    <xf numFmtId="0" fontId="0" fillId="9" borderId="20"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5" xfId="0" applyFill="1" applyBorder="1" applyAlignment="1">
      <alignment vertical="center"/>
    </xf>
    <xf numFmtId="0" fontId="0" fillId="12" borderId="16" xfId="0" applyFill="1" applyBorder="1" applyAlignment="1">
      <alignment vertical="center"/>
    </xf>
    <xf numFmtId="0" fontId="0" fillId="12" borderId="20" xfId="0" applyFill="1" applyBorder="1" applyAlignment="1">
      <alignment vertical="center"/>
    </xf>
    <xf numFmtId="0" fontId="0" fillId="10" borderId="20" xfId="0" applyFill="1" applyBorder="1" applyAlignment="1">
      <alignment vertical="center"/>
    </xf>
    <xf numFmtId="0" fontId="0" fillId="9" borderId="20" xfId="0" applyFill="1" applyBorder="1" applyAlignment="1">
      <alignment vertical="center"/>
    </xf>
    <xf numFmtId="0" fontId="0" fillId="13" borderId="25" xfId="0" applyFill="1" applyBorder="1" applyAlignment="1">
      <alignment vertical="center"/>
    </xf>
    <xf numFmtId="0" fontId="0" fillId="13" borderId="16" xfId="0" applyFill="1" applyBorder="1" applyAlignment="1">
      <alignment vertical="center"/>
    </xf>
    <xf numFmtId="0" fontId="0" fillId="13" borderId="20" xfId="0" applyFill="1" applyBorder="1" applyAlignment="1">
      <alignment vertical="center"/>
    </xf>
    <xf numFmtId="0" fontId="0" fillId="12" borderId="32" xfId="0" applyFill="1" applyBorder="1" applyAlignment="1">
      <alignment vertical="center"/>
    </xf>
    <xf numFmtId="0" fontId="0" fillId="10" borderId="16" xfId="0" applyFill="1" applyBorder="1" applyAlignment="1">
      <alignment vertical="center" wrapText="1"/>
    </xf>
    <xf numFmtId="0" fontId="0" fillId="13" borderId="16" xfId="0" applyFill="1" applyBorder="1" applyAlignment="1">
      <alignment vertical="center" wrapText="1"/>
    </xf>
    <xf numFmtId="0" fontId="0" fillId="9" borderId="16" xfId="0" applyFill="1" applyBorder="1" applyAlignment="1">
      <alignment vertical="center" wrapText="1"/>
    </xf>
    <xf numFmtId="0" fontId="0" fillId="12" borderId="31" xfId="0" applyFill="1" applyBorder="1" applyAlignment="1">
      <alignment vertical="center"/>
    </xf>
    <xf numFmtId="0" fontId="0" fillId="10" borderId="25" xfId="0" applyFill="1" applyBorder="1" applyAlignment="1">
      <alignment vertical="center" wrapText="1"/>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2" fillId="6" borderId="14" xfId="1" applyFill="1" applyBorder="1" applyAlignment="1">
      <alignment horizontal="center" vertical="center"/>
    </xf>
    <xf numFmtId="0" fontId="2" fillId="6" borderId="17" xfId="1" applyFill="1" applyBorder="1" applyAlignment="1">
      <alignment horizontal="center" vertical="center"/>
    </xf>
    <xf numFmtId="0" fontId="2" fillId="6" borderId="18" xfId="1" applyFill="1" applyBorder="1" applyAlignment="1">
      <alignment horizontal="center" vertical="center"/>
    </xf>
    <xf numFmtId="0" fontId="0" fillId="6" borderId="14" xfId="0" applyFill="1" applyBorder="1" applyAlignment="1">
      <alignment horizontal="center" vertical="center" wrapText="1"/>
    </xf>
    <xf numFmtId="0" fontId="0" fillId="6" borderId="17" xfId="0" applyFill="1" applyBorder="1" applyAlignment="1">
      <alignment horizontal="center" vertical="center" wrapText="1"/>
    </xf>
    <xf numFmtId="0" fontId="0" fillId="6" borderId="18"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7" xfId="1" applyFill="1" applyBorder="1" applyAlignment="1">
      <alignment horizontal="center" vertical="center" wrapText="1"/>
    </xf>
    <xf numFmtId="0" fontId="2" fillId="5" borderId="18"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7" xfId="0" applyFill="1" applyBorder="1" applyAlignment="1">
      <alignment horizontal="center" vertical="center" wrapText="1"/>
    </xf>
    <xf numFmtId="0" fontId="0" fillId="5" borderId="18"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33" xfId="0" applyFill="1" applyBorder="1" applyAlignment="1">
      <alignment horizontal="center" vertical="center"/>
    </xf>
    <xf numFmtId="0" fontId="0" fillId="3" borderId="34" xfId="0" applyFill="1" applyBorder="1" applyAlignment="1">
      <alignment horizontal="center" vertical="center"/>
    </xf>
    <xf numFmtId="0" fontId="0" fillId="9" borderId="32" xfId="0" applyFill="1" applyBorder="1" applyAlignment="1">
      <alignment horizontal="center" vertical="center"/>
    </xf>
    <xf numFmtId="0" fontId="0" fillId="12" borderId="19" xfId="0" applyFill="1" applyBorder="1" applyAlignment="1">
      <alignment horizontal="center" vertical="center"/>
    </xf>
    <xf numFmtId="0" fontId="0" fillId="12" borderId="21" xfId="0" applyFill="1" applyBorder="1" applyAlignment="1">
      <alignment horizontal="center" vertical="center"/>
    </xf>
    <xf numFmtId="0" fontId="0" fillId="12" borderId="22" xfId="0" applyFill="1" applyBorder="1" applyAlignment="1">
      <alignment horizontal="center" vertical="center"/>
    </xf>
    <xf numFmtId="0" fontId="0" fillId="10" borderId="35" xfId="0" applyFill="1" applyBorder="1" applyAlignment="1">
      <alignment horizontal="center" vertical="center" wrapText="1"/>
    </xf>
    <xf numFmtId="0" fontId="0" fillId="10" borderId="28" xfId="0" applyFill="1" applyBorder="1" applyAlignment="1">
      <alignment horizontal="center" vertical="center" wrapText="1"/>
    </xf>
    <xf numFmtId="0" fontId="0" fillId="13" borderId="30" xfId="0" applyFill="1" applyBorder="1" applyAlignment="1">
      <alignment horizontal="center" vertical="center" wrapText="1"/>
    </xf>
    <xf numFmtId="0" fontId="0" fillId="13" borderId="28" xfId="0" applyFill="1" applyBorder="1" applyAlignment="1">
      <alignment horizontal="center" vertical="center" wrapText="1"/>
    </xf>
    <xf numFmtId="0" fontId="0" fillId="13" borderId="29" xfId="0" applyFill="1" applyBorder="1" applyAlignment="1">
      <alignment horizontal="center" vertical="center" wrapText="1"/>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8" borderId="9" xfId="0" applyFill="1" applyBorder="1" applyAlignment="1">
      <alignment horizontal="center" vertical="center" wrapText="1"/>
    </xf>
    <xf numFmtId="0" fontId="0" fillId="3" borderId="19" xfId="0" applyFill="1" applyBorder="1" applyAlignment="1">
      <alignment horizontal="center" vertical="center" wrapText="1"/>
    </xf>
    <xf numFmtId="0" fontId="0" fillId="3" borderId="19" xfId="0" applyFill="1" applyBorder="1" applyAlignment="1">
      <alignment horizontal="center" vertical="center"/>
    </xf>
    <xf numFmtId="0" fontId="0" fillId="3" borderId="21" xfId="0" applyFill="1" applyBorder="1" applyAlignment="1">
      <alignment horizontal="center" vertical="center"/>
    </xf>
    <xf numFmtId="0" fontId="0" fillId="12" borderId="30" xfId="0" applyFill="1" applyBorder="1" applyAlignment="1">
      <alignment horizontal="center" vertical="center"/>
    </xf>
    <xf numFmtId="0" fontId="0" fillId="12" borderId="28" xfId="0" applyFill="1" applyBorder="1" applyAlignment="1">
      <alignment horizontal="center" vertical="center"/>
    </xf>
    <xf numFmtId="0" fontId="0" fillId="12" borderId="29" xfId="0" applyFill="1" applyBorder="1" applyAlignment="1">
      <alignment horizontal="center" vertical="center"/>
    </xf>
    <xf numFmtId="0" fontId="0" fillId="3" borderId="22" xfId="0" applyFill="1" applyBorder="1" applyAlignment="1">
      <alignment horizontal="center" vertical="center"/>
    </xf>
    <xf numFmtId="0" fontId="0" fillId="9" borderId="16" xfId="0" applyFill="1" applyBorder="1" applyAlignment="1">
      <alignment horizontal="center" vertical="center"/>
    </xf>
    <xf numFmtId="0" fontId="0" fillId="3" borderId="23" xfId="0" applyFill="1" applyBorder="1" applyAlignment="1">
      <alignment horizontal="center" vertical="center" wrapText="1"/>
    </xf>
    <xf numFmtId="0" fontId="0" fillId="3" borderId="24" xfId="0" applyFill="1" applyBorder="1" applyAlignment="1">
      <alignment horizontal="center" vertical="center" wrapText="1"/>
    </xf>
    <xf numFmtId="0" fontId="0" fillId="12" borderId="26" xfId="0" applyFill="1" applyBorder="1" applyAlignment="1">
      <alignment horizontal="center" vertical="center"/>
    </xf>
    <xf numFmtId="0" fontId="0" fillId="10" borderId="26" xfId="0" applyFill="1" applyBorder="1" applyAlignment="1">
      <alignment horizontal="center" vertical="center"/>
    </xf>
    <xf numFmtId="0" fontId="0" fillId="10" borderId="27" xfId="0" applyFill="1" applyBorder="1" applyAlignment="1">
      <alignment horizontal="center" vertical="center"/>
    </xf>
    <xf numFmtId="0" fontId="0" fillId="10" borderId="25" xfId="0" applyFill="1" applyBorder="1" applyAlignment="1">
      <alignment horizontal="center" vertical="center"/>
    </xf>
    <xf numFmtId="0" fontId="0" fillId="5" borderId="30" xfId="0" applyFill="1" applyBorder="1" applyAlignment="1">
      <alignment horizontal="center" vertical="center" wrapText="1"/>
    </xf>
    <xf numFmtId="0" fontId="0" fillId="5" borderId="25" xfId="0" applyFill="1" applyBorder="1" applyAlignment="1">
      <alignment vertical="center"/>
    </xf>
    <xf numFmtId="0" fontId="0" fillId="5" borderId="16" xfId="0" applyFill="1" applyBorder="1" applyAlignment="1">
      <alignment vertical="center"/>
    </xf>
    <xf numFmtId="0" fontId="0" fillId="5" borderId="20" xfId="0" applyFill="1" applyBorder="1" applyAlignment="1">
      <alignment vertical="center"/>
    </xf>
    <xf numFmtId="0" fontId="0" fillId="5" borderId="16" xfId="0" applyFill="1" applyBorder="1" applyAlignment="1">
      <alignment vertical="center" wrapText="1"/>
    </xf>
    <xf numFmtId="0" fontId="0" fillId="5" borderId="28" xfId="0" applyFill="1" applyBorder="1" applyAlignment="1">
      <alignment horizontal="center" vertical="center" wrapText="1"/>
    </xf>
    <xf numFmtId="0" fontId="1" fillId="5" borderId="5" xfId="0" applyFont="1" applyFill="1" applyBorder="1" applyAlignment="1">
      <alignment horizontal="center" vertical="center"/>
    </xf>
    <xf numFmtId="0" fontId="1" fillId="6" borderId="5" xfId="0" applyFont="1" applyFill="1" applyBorder="1" applyAlignment="1">
      <alignment horizontal="center" vertical="center"/>
    </xf>
    <xf numFmtId="0" fontId="5" fillId="9" borderId="7" xfId="0" applyFont="1" applyFill="1" applyBorder="1" applyAlignment="1">
      <alignment horizontal="center" vertical="center"/>
    </xf>
    <xf numFmtId="0" fontId="0" fillId="9" borderId="36" xfId="0" applyFill="1" applyBorder="1" applyAlignment="1">
      <alignment horizontal="center" vertical="center"/>
    </xf>
    <xf numFmtId="0" fontId="1" fillId="4" borderId="14" xfId="0" applyFont="1" applyFill="1" applyBorder="1" applyAlignment="1">
      <alignment horizontal="center" vertical="center"/>
    </xf>
    <xf numFmtId="0" fontId="5" fillId="8" borderId="16" xfId="0" applyFont="1" applyFill="1" applyBorder="1" applyAlignment="1">
      <alignment horizontal="center" vertical="center" wrapText="1"/>
    </xf>
    <xf numFmtId="0" fontId="0" fillId="8" borderId="16" xfId="0" applyFill="1" applyBorder="1" applyAlignment="1">
      <alignment horizontal="center" vertical="center" wrapText="1"/>
    </xf>
    <xf numFmtId="0" fontId="0" fillId="12" borderId="16" xfId="0" applyFill="1" applyBorder="1" applyAlignment="1">
      <alignment vertical="center" wrapText="1"/>
    </xf>
    <xf numFmtId="0" fontId="2" fillId="12" borderId="16" xfId="1" applyFill="1" applyBorder="1" applyAlignment="1">
      <alignment vertical="center"/>
    </xf>
    <xf numFmtId="0" fontId="2" fillId="13" borderId="16" xfId="1" applyFill="1" applyBorder="1" applyAlignment="1">
      <alignment vertical="center"/>
    </xf>
    <xf numFmtId="0" fontId="6" fillId="0" borderId="0" xfId="0" applyFont="1" applyAlignment="1">
      <alignment vertical="center"/>
    </xf>
    <xf numFmtId="0" fontId="0" fillId="8" borderId="30" xfId="0" applyFill="1" applyBorder="1" applyAlignment="1">
      <alignment horizontal="center" vertical="center"/>
    </xf>
    <xf numFmtId="0" fontId="0" fillId="8" borderId="16" xfId="0" applyFill="1" applyBorder="1" applyAlignment="1">
      <alignment vertical="center"/>
    </xf>
    <xf numFmtId="0" fontId="0" fillId="8" borderId="20" xfId="0" applyFill="1" applyBorder="1" applyAlignment="1">
      <alignment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3" borderId="16" xfId="0" applyFill="1" applyBorder="1" applyAlignment="1">
      <alignment horizontal="center" vertical="center"/>
    </xf>
    <xf numFmtId="0" fontId="0" fillId="8" borderId="16" xfId="0" applyFill="1" applyBorder="1" applyAlignment="1">
      <alignment vertical="center" wrapText="1"/>
    </xf>
    <xf numFmtId="0" fontId="0" fillId="12" borderId="25" xfId="0" applyFill="1" applyBorder="1" applyAlignment="1">
      <alignment horizontal="center" vertical="center"/>
    </xf>
    <xf numFmtId="0" fontId="0" fillId="12" borderId="25" xfId="0" applyFill="1" applyBorder="1" applyAlignment="1">
      <alignment vertical="center"/>
    </xf>
    <xf numFmtId="0" fontId="2" fillId="10" borderId="16" xfId="1" applyFill="1" applyBorder="1" applyAlignment="1">
      <alignment vertical="center"/>
    </xf>
    <xf numFmtId="0" fontId="2" fillId="9" borderId="16" xfId="1" applyFill="1" applyBorder="1" applyAlignment="1">
      <alignment vertical="center"/>
    </xf>
    <xf numFmtId="0" fontId="0" fillId="3" borderId="30" xfId="0" applyFill="1" applyBorder="1" applyAlignment="1">
      <alignment horizontal="center" vertical="center" wrapText="1"/>
    </xf>
    <xf numFmtId="0" fontId="0" fillId="3"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37" xfId="0" applyFill="1" applyBorder="1" applyAlignment="1">
      <alignment horizontal="center" vertical="center"/>
    </xf>
    <xf numFmtId="0" fontId="0" fillId="9" borderId="26" xfId="0" applyFill="1" applyBorder="1" applyAlignment="1">
      <alignment horizontal="center" vertical="center"/>
    </xf>
    <xf numFmtId="0" fontId="0" fillId="9" borderId="27" xfId="0" applyFill="1" applyBorder="1" applyAlignment="1">
      <alignment horizontal="center" vertical="center"/>
    </xf>
    <xf numFmtId="0" fontId="0" fillId="9" borderId="25" xfId="0" applyFill="1" applyBorder="1" applyAlignment="1">
      <alignment horizontal="center" vertical="center"/>
    </xf>
    <xf numFmtId="0" fontId="0" fillId="10" borderId="16" xfId="0" applyFill="1" applyBorder="1" applyAlignment="1">
      <alignment horizontal="center" vertical="center" wrapText="1"/>
    </xf>
    <xf numFmtId="0" fontId="0" fillId="12" borderId="27" xfId="0"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B10" sqref="B10"/>
    </sheetView>
  </sheetViews>
  <sheetFormatPr baseColWidth="10" defaultColWidth="11.42578125" defaultRowHeight="14.25" x14ac:dyDescent="0.25"/>
  <cols>
    <col min="1" max="1" width="26" style="2" bestFit="1" customWidth="1"/>
    <col min="2" max="2" width="79.7109375" style="2" bestFit="1" customWidth="1"/>
    <col min="3" max="16384" width="11.42578125" style="2"/>
  </cols>
  <sheetData>
    <row r="1" spans="1:2" ht="15" x14ac:dyDescent="0.25">
      <c r="A1" s="64" t="s">
        <v>11</v>
      </c>
      <c r="B1" s="65"/>
    </row>
    <row r="2" spans="1:2" x14ac:dyDescent="0.25">
      <c r="A2" s="8" t="s">
        <v>6</v>
      </c>
      <c r="B2" s="9" t="s">
        <v>12</v>
      </c>
    </row>
    <row r="3" spans="1:2" ht="42.75" x14ac:dyDescent="0.25">
      <c r="A3" s="8" t="s">
        <v>8</v>
      </c>
      <c r="B3" s="9" t="s">
        <v>13</v>
      </c>
    </row>
    <row r="4" spans="1:2" ht="43.5" thickBot="1" x14ac:dyDescent="0.3">
      <c r="A4" s="10" t="s">
        <v>7</v>
      </c>
      <c r="B4" s="11" t="s">
        <v>14</v>
      </c>
    </row>
    <row r="5" spans="1:2" ht="15" thickBot="1" x14ac:dyDescent="0.3"/>
    <row r="6" spans="1:2" ht="15" x14ac:dyDescent="0.25">
      <c r="A6" s="33" t="s">
        <v>15</v>
      </c>
    </row>
    <row r="7" spans="1:2" ht="42.75" customHeight="1" x14ac:dyDescent="0.25">
      <c r="A7" s="34" t="s">
        <v>16</v>
      </c>
      <c r="B7" s="35" t="s">
        <v>68</v>
      </c>
    </row>
    <row r="8" spans="1:2" ht="42.75" customHeight="1" x14ac:dyDescent="0.25">
      <c r="A8" s="34" t="s">
        <v>17</v>
      </c>
      <c r="B8" s="35" t="s">
        <v>69</v>
      </c>
    </row>
    <row r="9" spans="1:2" ht="42.75" customHeight="1" x14ac:dyDescent="0.25">
      <c r="A9" s="34" t="s">
        <v>18</v>
      </c>
      <c r="B9" s="36" t="s">
        <v>70</v>
      </c>
    </row>
    <row r="10" spans="1:2" ht="42.75" customHeight="1" x14ac:dyDescent="0.25">
      <c r="A10" s="34" t="s">
        <v>19</v>
      </c>
      <c r="B10" s="35" t="s">
        <v>71</v>
      </c>
    </row>
    <row r="11" spans="1:2" ht="42.75" customHeight="1" x14ac:dyDescent="0.25">
      <c r="A11" s="34" t="s">
        <v>20</v>
      </c>
      <c r="B11" s="35" t="s">
        <v>72</v>
      </c>
    </row>
    <row r="12" spans="1:2" ht="42.75" customHeight="1" x14ac:dyDescent="0.25">
      <c r="A12" s="34" t="s">
        <v>21</v>
      </c>
      <c r="B12" s="35" t="s">
        <v>73</v>
      </c>
    </row>
    <row r="13" spans="1:2" ht="42.75" customHeight="1" x14ac:dyDescent="0.25">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703125"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2578125" defaultRowHeight="14.25" x14ac:dyDescent="0.25"/>
  <cols>
    <col min="1" max="1" width="36.28515625" style="2" bestFit="1" customWidth="1"/>
    <col min="2" max="3" width="22.28515625" style="2" bestFit="1" customWidth="1"/>
    <col min="4" max="4" width="57.7109375" style="7" customWidth="1"/>
    <col min="5" max="16384" width="11.42578125" style="2"/>
  </cols>
  <sheetData>
    <row r="1" spans="1:4" ht="15" x14ac:dyDescent="0.25">
      <c r="A1" s="1" t="s">
        <v>0</v>
      </c>
      <c r="B1" s="75" t="s">
        <v>9</v>
      </c>
      <c r="C1" s="75"/>
      <c r="D1" s="76"/>
    </row>
    <row r="2" spans="1:4" ht="36" customHeight="1" x14ac:dyDescent="0.25">
      <c r="A2" s="3" t="s">
        <v>1</v>
      </c>
      <c r="B2" s="77" t="s">
        <v>10</v>
      </c>
      <c r="C2" s="78"/>
      <c r="D2" s="79"/>
    </row>
    <row r="3" spans="1:4" ht="15" x14ac:dyDescent="0.25">
      <c r="A3" s="80" t="s">
        <v>2</v>
      </c>
      <c r="B3" s="81"/>
      <c r="C3" s="81"/>
      <c r="D3" s="82"/>
    </row>
    <row r="4" spans="1:4" ht="15" x14ac:dyDescent="0.25">
      <c r="A4" s="4" t="s">
        <v>3</v>
      </c>
      <c r="B4" s="5" t="s">
        <v>4</v>
      </c>
      <c r="C4" s="5" t="s">
        <v>5</v>
      </c>
      <c r="D4" s="6" t="s">
        <v>1</v>
      </c>
    </row>
    <row r="5" spans="1:4" ht="15" customHeight="1" x14ac:dyDescent="0.25">
      <c r="A5" s="85" t="s">
        <v>6</v>
      </c>
      <c r="B5" s="86" t="s">
        <v>79</v>
      </c>
      <c r="C5" s="27" t="s">
        <v>23</v>
      </c>
      <c r="D5" s="87" t="s">
        <v>67</v>
      </c>
    </row>
    <row r="6" spans="1:4" ht="15" customHeight="1" x14ac:dyDescent="0.25">
      <c r="A6" s="85"/>
      <c r="B6" s="86"/>
      <c r="C6" s="27" t="s">
        <v>41</v>
      </c>
      <c r="D6" s="87"/>
    </row>
    <row r="7" spans="1:4" ht="15" customHeight="1" x14ac:dyDescent="0.25">
      <c r="A7" s="85"/>
      <c r="B7" s="86"/>
      <c r="C7" s="27" t="s">
        <v>66</v>
      </c>
      <c r="D7" s="87"/>
    </row>
    <row r="8" spans="1:4" ht="15" customHeight="1" x14ac:dyDescent="0.25">
      <c r="A8" s="85"/>
      <c r="B8" s="86"/>
      <c r="C8" s="27" t="s">
        <v>81</v>
      </c>
      <c r="D8" s="87"/>
    </row>
    <row r="9" spans="1:4" ht="18.75" customHeight="1" x14ac:dyDescent="0.25">
      <c r="A9" s="85"/>
      <c r="B9" s="86"/>
      <c r="C9" s="27" t="s">
        <v>82</v>
      </c>
      <c r="D9" s="87"/>
    </row>
    <row r="10" spans="1:4" ht="15" x14ac:dyDescent="0.25">
      <c r="A10" s="83" t="s">
        <v>6</v>
      </c>
      <c r="B10" s="84" t="s">
        <v>80</v>
      </c>
      <c r="C10" s="28" t="s">
        <v>24</v>
      </c>
      <c r="D10" s="83" t="s">
        <v>27</v>
      </c>
    </row>
    <row r="11" spans="1:4" ht="26.45" customHeight="1" x14ac:dyDescent="0.25">
      <c r="A11" s="83"/>
      <c r="B11" s="84"/>
      <c r="C11" s="28" t="s">
        <v>82</v>
      </c>
      <c r="D11" s="83"/>
    </row>
    <row r="12" spans="1:4" ht="21" customHeight="1" x14ac:dyDescent="0.25">
      <c r="A12" s="91" t="s">
        <v>6</v>
      </c>
      <c r="B12" s="88" t="s">
        <v>83</v>
      </c>
      <c r="C12" s="27" t="s">
        <v>41</v>
      </c>
      <c r="D12" s="91" t="s">
        <v>84</v>
      </c>
    </row>
    <row r="13" spans="1:4" ht="21" customHeight="1" x14ac:dyDescent="0.25">
      <c r="A13" s="92"/>
      <c r="B13" s="89"/>
      <c r="C13" s="27" t="s">
        <v>64</v>
      </c>
      <c r="D13" s="92"/>
    </row>
    <row r="14" spans="1:4" ht="21" customHeight="1" x14ac:dyDescent="0.25">
      <c r="A14" s="93"/>
      <c r="B14" s="90"/>
      <c r="C14" s="27" t="s">
        <v>65</v>
      </c>
      <c r="D14" s="93"/>
    </row>
    <row r="15" spans="1:4" ht="15" x14ac:dyDescent="0.25">
      <c r="A15" s="66" t="s">
        <v>6</v>
      </c>
      <c r="B15" s="69" t="s">
        <v>63</v>
      </c>
      <c r="C15" s="42" t="s">
        <v>25</v>
      </c>
      <c r="D15" s="72" t="s">
        <v>26</v>
      </c>
    </row>
    <row r="16" spans="1:4" ht="15" x14ac:dyDescent="0.25">
      <c r="A16" s="67"/>
      <c r="B16" s="70"/>
      <c r="C16" s="42" t="s">
        <v>65</v>
      </c>
      <c r="D16" s="73"/>
    </row>
    <row r="17" spans="1:4" ht="15" x14ac:dyDescent="0.25">
      <c r="A17" s="68"/>
      <c r="B17" s="71"/>
      <c r="C17" s="42" t="s">
        <v>24</v>
      </c>
      <c r="D17" s="74"/>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115" zoomScaleNormal="115" workbookViewId="0"/>
  </sheetViews>
  <sheetFormatPr baseColWidth="10" defaultColWidth="11.42578125" defaultRowHeight="15" x14ac:dyDescent="0.25"/>
  <cols>
    <col min="1" max="1" width="19.85546875" style="13" bestFit="1" customWidth="1"/>
    <col min="2" max="2" width="22.28515625" style="13" bestFit="1" customWidth="1"/>
    <col min="3" max="3" width="24" style="13" bestFit="1" customWidth="1"/>
    <col min="4" max="5" width="38.28515625" style="13" bestFit="1" customWidth="1"/>
    <col min="6" max="6" width="64" style="13" bestFit="1" customWidth="1"/>
    <col min="7" max="16384" width="11.42578125" style="13"/>
  </cols>
  <sheetData>
    <row r="1" spans="1:6" x14ac:dyDescent="0.25">
      <c r="A1" s="12" t="s">
        <v>28</v>
      </c>
      <c r="B1" s="94" t="str">
        <f>Contextos!B5</f>
        <v xml:space="preserve"> Conjuntos residenciales</v>
      </c>
      <c r="C1" s="94"/>
      <c r="D1" s="94"/>
      <c r="E1" s="94"/>
      <c r="F1" s="95"/>
    </row>
    <row r="2" spans="1:6" ht="38.25" customHeight="1" x14ac:dyDescent="0.25">
      <c r="A2" s="14" t="s">
        <v>29</v>
      </c>
      <c r="B2" s="96"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96"/>
      <c r="D2" s="96"/>
      <c r="E2" s="96"/>
      <c r="F2" s="97"/>
    </row>
    <row r="3" spans="1:6" x14ac:dyDescent="0.25">
      <c r="A3" s="14" t="s">
        <v>3</v>
      </c>
      <c r="B3" s="98" t="str">
        <f>Contextos!A5</f>
        <v>Core/Básico</v>
      </c>
      <c r="C3" s="98"/>
      <c r="D3" s="98"/>
      <c r="E3" s="98"/>
      <c r="F3" s="99"/>
    </row>
    <row r="4" spans="1:6" x14ac:dyDescent="0.25">
      <c r="A4" s="100" t="s">
        <v>30</v>
      </c>
      <c r="B4" s="101"/>
      <c r="C4" s="101"/>
      <c r="D4" s="101"/>
      <c r="E4" s="101"/>
      <c r="F4" s="102"/>
    </row>
    <row r="5" spans="1:6" x14ac:dyDescent="0.25">
      <c r="A5" s="15" t="s">
        <v>31</v>
      </c>
      <c r="B5" s="16" t="s">
        <v>32</v>
      </c>
      <c r="C5" s="103" t="s">
        <v>33</v>
      </c>
      <c r="D5" s="103" t="s">
        <v>34</v>
      </c>
      <c r="E5" s="103"/>
      <c r="F5" s="104" t="s">
        <v>1</v>
      </c>
    </row>
    <row r="6" spans="1:6" x14ac:dyDescent="0.25">
      <c r="A6" s="15" t="s">
        <v>35</v>
      </c>
      <c r="B6" s="16" t="s">
        <v>36</v>
      </c>
      <c r="C6" s="103"/>
      <c r="D6" s="103"/>
      <c r="E6" s="103"/>
      <c r="F6" s="104"/>
    </row>
    <row r="7" spans="1:6" x14ac:dyDescent="0.25">
      <c r="A7" s="15" t="s">
        <v>37</v>
      </c>
      <c r="B7" s="16" t="s">
        <v>38</v>
      </c>
      <c r="C7" s="103"/>
      <c r="D7" s="16" t="s">
        <v>39</v>
      </c>
      <c r="E7" s="17" t="s">
        <v>4</v>
      </c>
      <c r="F7" s="104"/>
    </row>
    <row r="8" spans="1:6" ht="45" x14ac:dyDescent="0.25">
      <c r="A8" s="24" t="s">
        <v>40</v>
      </c>
      <c r="B8" s="23" t="s">
        <v>66</v>
      </c>
      <c r="C8" s="24" t="s">
        <v>20</v>
      </c>
      <c r="D8" s="45" t="str">
        <f>B8&amp;" "&amp;A8&amp;"-0001"</f>
        <v>Administrador Conjunto Residencial-0001</v>
      </c>
      <c r="E8" s="39" t="str">
        <f>_xlfn.CONCAT(A8," de ",B8)</f>
        <v>Conjunto Residencial de Administrador</v>
      </c>
      <c r="F8" s="25" t="s">
        <v>76</v>
      </c>
    </row>
    <row r="9" spans="1:6" ht="30" x14ac:dyDescent="0.25">
      <c r="A9" s="18" t="s">
        <v>40</v>
      </c>
      <c r="B9" s="18" t="s">
        <v>41</v>
      </c>
      <c r="C9" s="19" t="s">
        <v>20</v>
      </c>
      <c r="D9" s="37" t="str">
        <f>B9&amp;" "&amp;A9&amp;"-0001"</f>
        <v>ZonaComun Conjunto Residencial-0001</v>
      </c>
      <c r="E9" s="38" t="str">
        <f>_xlfn.CONCAT(A9," de ",B9)</f>
        <v>Conjunto Residencial de ZonaComun</v>
      </c>
      <c r="F9" s="22" t="s">
        <v>75</v>
      </c>
    </row>
    <row r="10" spans="1:6" ht="45" x14ac:dyDescent="0.25">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25">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D19" sqref="D19"/>
    </sheetView>
  </sheetViews>
  <sheetFormatPr baseColWidth="10" defaultColWidth="11.42578125" defaultRowHeight="15" x14ac:dyDescent="0.25"/>
  <cols>
    <col min="1" max="1" width="19.85546875" style="13" bestFit="1" customWidth="1"/>
    <col min="2" max="2" width="22.28515625" style="13" bestFit="1" customWidth="1"/>
    <col min="3" max="3" width="24" style="13" bestFit="1" customWidth="1"/>
    <col min="4" max="4" width="37.85546875" style="13" bestFit="1" customWidth="1"/>
    <col min="5" max="5" width="38.28515625" style="13" bestFit="1" customWidth="1"/>
    <col min="6" max="6" width="64" style="13" bestFit="1" customWidth="1"/>
    <col min="7" max="16384" width="11.42578125" style="13"/>
  </cols>
  <sheetData>
    <row r="1" spans="1:6" x14ac:dyDescent="0.25">
      <c r="A1" s="12" t="s">
        <v>28</v>
      </c>
      <c r="B1" s="94" t="str">
        <f>Contextos!B10</f>
        <v>Residentes</v>
      </c>
      <c r="C1" s="94"/>
      <c r="D1" s="94"/>
      <c r="E1" s="94"/>
      <c r="F1" s="95"/>
    </row>
    <row r="2" spans="1:6" x14ac:dyDescent="0.25">
      <c r="A2" s="14" t="s">
        <v>29</v>
      </c>
      <c r="B2" s="96" t="str">
        <f>Contextos!D10</f>
        <v>Contexto cuya motivación es encargarce de manejar la información de los residentes, incluidas sus identificaciones, contacto, y la relación entre el residente y su residencia dentro del conjunto.</v>
      </c>
      <c r="C2" s="96"/>
      <c r="D2" s="96"/>
      <c r="E2" s="96"/>
      <c r="F2" s="97"/>
    </row>
    <row r="3" spans="1:6" x14ac:dyDescent="0.25">
      <c r="A3" s="14" t="s">
        <v>3</v>
      </c>
      <c r="B3" s="98" t="str">
        <f>Contextos!A10</f>
        <v>Core/Básico</v>
      </c>
      <c r="C3" s="98"/>
      <c r="D3" s="98"/>
      <c r="E3" s="98"/>
      <c r="F3" s="99"/>
    </row>
    <row r="4" spans="1:6" x14ac:dyDescent="0.25">
      <c r="A4" s="100" t="s">
        <v>30</v>
      </c>
      <c r="B4" s="101"/>
      <c r="C4" s="101"/>
      <c r="D4" s="101"/>
      <c r="E4" s="101"/>
      <c r="F4" s="102"/>
    </row>
    <row r="5" spans="1:6" x14ac:dyDescent="0.25">
      <c r="A5" s="15" t="s">
        <v>31</v>
      </c>
      <c r="B5" s="16" t="s">
        <v>32</v>
      </c>
      <c r="C5" s="103" t="s">
        <v>33</v>
      </c>
      <c r="D5" s="103" t="s">
        <v>34</v>
      </c>
      <c r="E5" s="103"/>
      <c r="F5" s="104" t="s">
        <v>1</v>
      </c>
    </row>
    <row r="6" spans="1:6" x14ac:dyDescent="0.25">
      <c r="A6" s="15" t="s">
        <v>35</v>
      </c>
      <c r="B6" s="16" t="s">
        <v>36</v>
      </c>
      <c r="C6" s="103"/>
      <c r="D6" s="103"/>
      <c r="E6" s="103"/>
      <c r="F6" s="104"/>
    </row>
    <row r="7" spans="1:6" x14ac:dyDescent="0.25">
      <c r="A7" s="15" t="s">
        <v>37</v>
      </c>
      <c r="B7" s="16" t="s">
        <v>38</v>
      </c>
      <c r="C7" s="103"/>
      <c r="D7" s="16" t="s">
        <v>39</v>
      </c>
      <c r="E7" s="17" t="s">
        <v>4</v>
      </c>
      <c r="F7" s="104"/>
    </row>
    <row r="8" spans="1:6" ht="30" x14ac:dyDescent="0.25">
      <c r="A8" s="19" t="s">
        <v>100</v>
      </c>
      <c r="B8" s="18" t="s">
        <v>24</v>
      </c>
      <c r="C8" s="19" t="s">
        <v>20</v>
      </c>
      <c r="D8" s="20" t="str">
        <f>B8&amp;" "&amp;A8&amp;"-0001"</f>
        <v>Residente ConjutosResidenciales-0001</v>
      </c>
      <c r="E8" s="21" t="str">
        <f>_xlfn.CONCAT(A8," de ",B8)</f>
        <v>ConjutosResidenciales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23"/>
  <sheetViews>
    <sheetView zoomScale="90" zoomScaleNormal="90" workbookViewId="0">
      <selection activeCell="R6" sqref="R6"/>
    </sheetView>
  </sheetViews>
  <sheetFormatPr baseColWidth="10" defaultColWidth="11.42578125" defaultRowHeight="15" x14ac:dyDescent="0.25"/>
  <cols>
    <col min="1" max="1" width="13.85546875" style="13" customWidth="1"/>
    <col min="2" max="2" width="19.85546875" style="13" customWidth="1"/>
    <col min="3" max="3" width="23.42578125" style="13" bestFit="1" customWidth="1"/>
    <col min="4" max="4" width="19.42578125" style="13" bestFit="1"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31"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18" t="str">
        <f>Residentes!D8</f>
        <v>Residente ConjutosResidenciales-0001</v>
      </c>
      <c r="C1" s="118"/>
      <c r="D1" s="118"/>
      <c r="E1" s="118"/>
      <c r="F1" s="118"/>
      <c r="G1" s="118"/>
      <c r="H1" s="118"/>
      <c r="I1" s="118"/>
      <c r="J1" s="118"/>
      <c r="K1" s="118"/>
      <c r="L1" s="118"/>
      <c r="M1" s="118"/>
      <c r="N1" s="118"/>
      <c r="O1" s="118"/>
      <c r="P1" s="118"/>
      <c r="Q1" s="118"/>
      <c r="R1" s="118"/>
      <c r="S1" s="119"/>
    </row>
    <row r="2" spans="1:19" ht="15.75" thickBot="1" x14ac:dyDescent="0.3">
      <c r="A2" s="100"/>
      <c r="B2" s="101"/>
      <c r="C2" s="101"/>
      <c r="D2" s="101"/>
      <c r="E2" s="101"/>
      <c r="F2" s="101"/>
      <c r="G2" s="101"/>
      <c r="H2" s="101"/>
      <c r="I2" s="101"/>
      <c r="J2" s="101"/>
      <c r="K2" s="101"/>
      <c r="L2" s="101"/>
      <c r="M2" s="101"/>
      <c r="N2" s="101"/>
      <c r="O2" s="101"/>
      <c r="P2" s="101"/>
      <c r="Q2" s="101"/>
      <c r="R2" s="151"/>
      <c r="S2" s="102"/>
    </row>
    <row r="3" spans="1:19" ht="16.5" thickTop="1" thickBot="1" x14ac:dyDescent="0.3">
      <c r="A3" s="120" t="s">
        <v>42</v>
      </c>
      <c r="B3" s="121"/>
      <c r="C3" s="121"/>
      <c r="D3" s="121"/>
      <c r="E3" s="121"/>
      <c r="F3" s="121"/>
      <c r="G3" s="121"/>
      <c r="H3" s="121"/>
      <c r="I3" s="121"/>
      <c r="J3" s="121" t="s">
        <v>43</v>
      </c>
      <c r="K3" s="121"/>
      <c r="L3" s="121"/>
      <c r="M3" s="121"/>
      <c r="N3" s="121"/>
      <c r="O3" s="121"/>
      <c r="P3" s="121"/>
      <c r="Q3" s="147"/>
      <c r="R3" s="152" t="s">
        <v>29</v>
      </c>
      <c r="S3" s="149" t="s">
        <v>44</v>
      </c>
    </row>
    <row r="4" spans="1:19" ht="16.5" thickTop="1" thickBot="1" x14ac:dyDescent="0.3">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48" t="s">
        <v>52</v>
      </c>
      <c r="R4" s="153"/>
      <c r="S4" s="150"/>
    </row>
    <row r="5" spans="1:19" ht="46.5" customHeight="1" thickTop="1" thickBot="1" x14ac:dyDescent="0.3">
      <c r="A5" s="105" t="s">
        <v>60</v>
      </c>
      <c r="B5" s="110" t="s">
        <v>82</v>
      </c>
      <c r="C5" s="58" t="s">
        <v>92</v>
      </c>
      <c r="D5" s="51" t="s">
        <v>93</v>
      </c>
      <c r="E5" s="51">
        <v>1</v>
      </c>
      <c r="F5" s="51">
        <v>50</v>
      </c>
      <c r="G5" s="51"/>
      <c r="H5" s="51"/>
      <c r="I5" s="51"/>
      <c r="J5" s="51" t="str">
        <f>_xlfn.CONCAT(C5,$B$5)</f>
        <v>numeroViviendaInmueble</v>
      </c>
      <c r="K5" s="51" t="s">
        <v>59</v>
      </c>
      <c r="L5" s="51" t="s">
        <v>93</v>
      </c>
      <c r="M5" s="51">
        <v>1</v>
      </c>
      <c r="N5" s="51">
        <v>50</v>
      </c>
      <c r="O5" s="51"/>
      <c r="P5" s="51"/>
      <c r="Q5" s="52"/>
      <c r="R5" s="154" t="str">
        <f>_xlfn.CONCAT("Atributo que contiene la informacion del ",C5," del objeto dominio ",B5,"  en el contexto de ",A5,".")</f>
        <v>Atributo que contiene la informacion del numeroVivienda del objeto dominio Inmueble  en el contexto de Conjuntos Residenciales.</v>
      </c>
      <c r="S5" s="107" t="s">
        <v>82</v>
      </c>
    </row>
    <row r="6" spans="1:19" ht="16.5" thickTop="1" thickBot="1" x14ac:dyDescent="0.3">
      <c r="A6" s="105"/>
      <c r="B6" s="111"/>
      <c r="C6" s="62" t="s">
        <v>101</v>
      </c>
      <c r="D6" s="155" t="s">
        <v>81</v>
      </c>
      <c r="E6" s="51"/>
      <c r="F6" s="51"/>
      <c r="G6" s="51"/>
      <c r="H6" s="51"/>
      <c r="I6" s="51"/>
      <c r="J6" s="51"/>
      <c r="K6" s="51"/>
      <c r="L6" s="51"/>
      <c r="M6" s="51"/>
      <c r="N6" s="51"/>
      <c r="O6" s="51"/>
      <c r="P6" s="51"/>
      <c r="Q6" s="52"/>
      <c r="R6" s="154"/>
      <c r="S6" s="107"/>
    </row>
    <row r="7" spans="1:19" ht="16.5" thickTop="1" thickBot="1" x14ac:dyDescent="0.3">
      <c r="A7" s="105"/>
      <c r="B7" s="112"/>
      <c r="C7" s="62" t="s">
        <v>91</v>
      </c>
      <c r="D7" s="155" t="s">
        <v>98</v>
      </c>
      <c r="E7" s="51"/>
      <c r="F7" s="51"/>
      <c r="G7" s="51"/>
      <c r="H7" s="51"/>
      <c r="I7" s="51"/>
      <c r="J7" s="51"/>
      <c r="K7" s="51"/>
      <c r="L7" s="51"/>
      <c r="M7" s="51"/>
      <c r="N7" s="51"/>
      <c r="O7" s="51"/>
      <c r="P7" s="51"/>
      <c r="Q7" s="52"/>
      <c r="R7" s="154"/>
      <c r="S7" s="107"/>
    </row>
    <row r="8" spans="1:19" ht="46.5" thickTop="1" thickBot="1" x14ac:dyDescent="0.3">
      <c r="A8" s="105"/>
      <c r="B8" s="113" t="s">
        <v>98</v>
      </c>
      <c r="C8" s="50" t="s">
        <v>55</v>
      </c>
      <c r="D8" s="31" t="s">
        <v>56</v>
      </c>
      <c r="E8" s="31">
        <v>32</v>
      </c>
      <c r="F8" s="31">
        <v>32</v>
      </c>
      <c r="G8" s="31"/>
      <c r="H8" s="31"/>
      <c r="I8" s="31"/>
      <c r="J8" s="31" t="str">
        <f t="shared" ref="J8:J14" si="0">_xlfn.CONCAT(C8,$B$8)</f>
        <v>identificadorTipoInmueble</v>
      </c>
      <c r="K8" s="31" t="s">
        <v>59</v>
      </c>
      <c r="L8" s="31" t="s">
        <v>56</v>
      </c>
      <c r="M8" s="31">
        <v>32</v>
      </c>
      <c r="N8" s="31">
        <v>32</v>
      </c>
      <c r="O8" s="31"/>
      <c r="P8" s="31"/>
      <c r="Q8" s="53"/>
      <c r="R8" s="63" t="str">
        <f>_xlfn.CONCAT("Atributo que contiene la informacion del ",C8," del objeto dominio ",B8,"  en el contexto de ",A5,".")</f>
        <v>Atributo que contiene la informacion del identificador del objeto dominio TipoInmueble  en el contexto de Conjuntos Residenciales.</v>
      </c>
      <c r="S8" s="107"/>
    </row>
    <row r="9" spans="1:19" ht="31.5" thickTop="1" thickBot="1" x14ac:dyDescent="0.3">
      <c r="A9" s="105"/>
      <c r="B9" s="114"/>
      <c r="C9" s="50" t="s">
        <v>57</v>
      </c>
      <c r="D9" s="31" t="s">
        <v>58</v>
      </c>
      <c r="E9" s="31">
        <v>1</v>
      </c>
      <c r="F9" s="31">
        <v>50</v>
      </c>
      <c r="G9" s="31"/>
      <c r="H9" s="31"/>
      <c r="I9" s="31"/>
      <c r="J9" s="31" t="str">
        <f t="shared" si="0"/>
        <v>nombreTipoInmueble</v>
      </c>
      <c r="K9" s="31" t="s">
        <v>59</v>
      </c>
      <c r="L9" s="31" t="s">
        <v>58</v>
      </c>
      <c r="M9" s="31">
        <v>1</v>
      </c>
      <c r="N9" s="31">
        <v>50</v>
      </c>
      <c r="O9" s="31"/>
      <c r="P9" s="31"/>
      <c r="Q9" s="53"/>
      <c r="R9" s="59" t="str">
        <f>_xlfn.CONCAT("Atributo que contiene la informacion del ",C9," del objeto dominio ",B9,"  en el contexto de ",A5,".")</f>
        <v>Atributo que contiene la informacion del nombre del objeto dominio   en el contexto de Conjuntos Residenciales.</v>
      </c>
      <c r="S9" s="107"/>
    </row>
    <row r="10" spans="1:19" ht="46.5" thickTop="1" thickBot="1" x14ac:dyDescent="0.3">
      <c r="A10" s="105"/>
      <c r="B10" s="115" t="s">
        <v>81</v>
      </c>
      <c r="C10" s="55" t="s">
        <v>55</v>
      </c>
      <c r="D10" s="56" t="s">
        <v>56</v>
      </c>
      <c r="E10" s="56">
        <v>32</v>
      </c>
      <c r="F10" s="56">
        <v>32</v>
      </c>
      <c r="G10" s="56"/>
      <c r="H10" s="56"/>
      <c r="I10" s="56"/>
      <c r="J10" s="56" t="str">
        <f t="shared" si="0"/>
        <v>identificadorTipoInmueble</v>
      </c>
      <c r="K10" s="56" t="s">
        <v>59</v>
      </c>
      <c r="L10" s="56" t="s">
        <v>56</v>
      </c>
      <c r="M10" s="56">
        <v>32</v>
      </c>
      <c r="N10" s="56">
        <v>32</v>
      </c>
      <c r="O10" s="56"/>
      <c r="P10" s="56"/>
      <c r="Q10" s="57"/>
      <c r="R10" s="60" t="str">
        <f>_xlfn.CONCAT("Atributo que contiene la informacion del ",C10," del objeto dominio ",B10,"  en el contexto de ",A3,".")</f>
        <v>Atributo que contiene la informacion del identificador del objeto dominio ZonaInmueble  en el contexto de Caracterización Origen.</v>
      </c>
      <c r="S10" s="107"/>
    </row>
    <row r="11" spans="1:19" ht="31.5" thickTop="1" thickBot="1" x14ac:dyDescent="0.3">
      <c r="A11" s="105"/>
      <c r="B11" s="116"/>
      <c r="C11" s="55" t="s">
        <v>102</v>
      </c>
      <c r="D11" s="156" t="s">
        <v>99</v>
      </c>
      <c r="E11" s="56"/>
      <c r="F11" s="56"/>
      <c r="G11" s="56"/>
      <c r="H11" s="56"/>
      <c r="I11" s="56"/>
      <c r="J11" s="56"/>
      <c r="K11" s="56"/>
      <c r="L11" s="56"/>
      <c r="M11" s="56"/>
      <c r="N11" s="56"/>
      <c r="O11" s="56"/>
      <c r="P11" s="56"/>
      <c r="Q11" s="57"/>
      <c r="R11" s="60" t="str">
        <f>_xlfn.CONCAT("Atributo que contiene la informacion del ",C11," del objeto dominio ",B11,"  en el contexto de ",A3,".")</f>
        <v>Atributo que contiene la informacion del tipoZonaInmueble del objeto dominio   en el contexto de Caracterización Origen.</v>
      </c>
      <c r="S11" s="107"/>
    </row>
    <row r="12" spans="1:19" ht="16.5" thickTop="1" thickBot="1" x14ac:dyDescent="0.3">
      <c r="A12" s="105"/>
      <c r="B12" s="117"/>
      <c r="C12" s="55" t="s">
        <v>62</v>
      </c>
      <c r="D12" s="156" t="s">
        <v>61</v>
      </c>
      <c r="E12" s="56"/>
      <c r="F12" s="56"/>
      <c r="G12" s="56"/>
      <c r="H12" s="56"/>
      <c r="I12" s="56"/>
      <c r="J12" s="56"/>
      <c r="K12" s="56"/>
      <c r="L12" s="56"/>
      <c r="M12" s="56"/>
      <c r="N12" s="56"/>
      <c r="O12" s="56"/>
      <c r="P12" s="56"/>
      <c r="Q12" s="57"/>
      <c r="R12" s="60"/>
      <c r="S12" s="107"/>
    </row>
    <row r="13" spans="1:19" ht="46.5" thickTop="1" thickBot="1" x14ac:dyDescent="0.3">
      <c r="A13" s="105"/>
      <c r="B13" s="141" t="s">
        <v>99</v>
      </c>
      <c r="C13" s="142" t="s">
        <v>55</v>
      </c>
      <c r="D13" s="143" t="s">
        <v>56</v>
      </c>
      <c r="E13" s="143">
        <v>32</v>
      </c>
      <c r="F13" s="143">
        <v>32</v>
      </c>
      <c r="G13" s="143"/>
      <c r="H13" s="143"/>
      <c r="I13" s="143"/>
      <c r="J13" s="143" t="str">
        <f t="shared" si="0"/>
        <v>identificadorTipoInmueble</v>
      </c>
      <c r="K13" s="143" t="s">
        <v>59</v>
      </c>
      <c r="L13" s="143" t="s">
        <v>56</v>
      </c>
      <c r="M13" s="143">
        <v>32</v>
      </c>
      <c r="N13" s="143">
        <v>32</v>
      </c>
      <c r="O13" s="143"/>
      <c r="P13" s="143"/>
      <c r="Q13" s="144"/>
      <c r="R13" s="145" t="str">
        <f>_xlfn.CONCAT("Atributo que contiene la informacion del ",C13," del objeto dominio ",B13,"  en el contexto de ",A5,".")</f>
        <v>Atributo que contiene la informacion del identificador del objeto dominio TipoZonaInmueble  en el contexto de Conjuntos Residenciales.</v>
      </c>
      <c r="S13" s="107"/>
    </row>
    <row r="14" spans="1:19" ht="31.5" thickTop="1" thickBot="1" x14ac:dyDescent="0.3">
      <c r="A14" s="105"/>
      <c r="B14" s="146"/>
      <c r="C14" s="142" t="s">
        <v>57</v>
      </c>
      <c r="D14" s="143" t="s">
        <v>58</v>
      </c>
      <c r="E14" s="143">
        <v>1</v>
      </c>
      <c r="F14" s="143">
        <v>50</v>
      </c>
      <c r="G14" s="143"/>
      <c r="H14" s="143"/>
      <c r="I14" s="143"/>
      <c r="J14" s="143" t="str">
        <f t="shared" si="0"/>
        <v>nombreTipoInmueble</v>
      </c>
      <c r="K14" s="143" t="s">
        <v>59</v>
      </c>
      <c r="L14" s="143" t="s">
        <v>58</v>
      </c>
      <c r="M14" s="143">
        <v>1</v>
      </c>
      <c r="N14" s="143">
        <v>50</v>
      </c>
      <c r="O14" s="143"/>
      <c r="P14" s="143"/>
      <c r="Q14" s="144"/>
      <c r="R14" s="145" t="str">
        <f>_xlfn.CONCAT("Atributo que contiene la informacion del ",C14," del objeto dominio ",B14,"  en el contexto de ",A5,".")</f>
        <v>Atributo que contiene la informacion del nombre del objeto dominio   en el contexto de Conjuntos Residenciales.</v>
      </c>
      <c r="S14" s="107"/>
    </row>
    <row r="15" spans="1:19" ht="46.5" thickTop="1" thickBot="1" x14ac:dyDescent="0.3">
      <c r="A15" s="105"/>
      <c r="B15" s="109" t="s">
        <v>61</v>
      </c>
      <c r="C15" s="32" t="s">
        <v>55</v>
      </c>
      <c r="D15" s="32" t="s">
        <v>56</v>
      </c>
      <c r="E15" s="32">
        <v>32</v>
      </c>
      <c r="F15" s="32">
        <v>32</v>
      </c>
      <c r="G15" s="32"/>
      <c r="H15" s="32"/>
      <c r="I15" s="32"/>
      <c r="J15" s="32" t="str">
        <f>_xlfn.CONCAT(C8,$B$15)</f>
        <v>identificadorConjuntoResidencial</v>
      </c>
      <c r="K15" s="32" t="s">
        <v>59</v>
      </c>
      <c r="L15" s="32" t="s">
        <v>56</v>
      </c>
      <c r="M15" s="32">
        <v>32</v>
      </c>
      <c r="N15" s="32">
        <v>32</v>
      </c>
      <c r="O15" s="32"/>
      <c r="P15" s="32"/>
      <c r="Q15" s="54"/>
      <c r="R15" s="61" t="str">
        <f>_xlfn.CONCAT("Atributo que contiene la informacion del ",C15," del objeto dominio ",B15,"  en el contexto de ",A5,".")</f>
        <v>Atributo que contiene la informacion del identificador del objeto dominio ConjuntoResidencial  en el contexto de Conjuntos Residenciales.</v>
      </c>
      <c r="S15" s="107"/>
    </row>
    <row r="16" spans="1:19" ht="31.5" thickTop="1" thickBot="1" x14ac:dyDescent="0.3">
      <c r="A16" s="106"/>
      <c r="B16" s="109"/>
      <c r="C16" s="32" t="s">
        <v>57</v>
      </c>
      <c r="D16" s="32" t="s">
        <v>58</v>
      </c>
      <c r="E16" s="32">
        <v>1</v>
      </c>
      <c r="F16" s="32">
        <v>50</v>
      </c>
      <c r="G16" s="32"/>
      <c r="H16" s="32"/>
      <c r="I16" s="32"/>
      <c r="J16" s="32" t="str">
        <f>_xlfn.CONCAT(C9,$B$15)</f>
        <v>nombreConjuntoResidencial</v>
      </c>
      <c r="K16" s="32" t="s">
        <v>59</v>
      </c>
      <c r="L16" s="32" t="s">
        <v>58</v>
      </c>
      <c r="M16" s="32">
        <v>1</v>
      </c>
      <c r="N16" s="32">
        <v>50</v>
      </c>
      <c r="O16" s="32"/>
      <c r="P16" s="32"/>
      <c r="Q16" s="54"/>
      <c r="R16" s="61" t="str">
        <f>_xlfn.CONCAT("Atributo que contiene la informacion del ",C16," del objeto dominio ",B16,"  en el contexto de ",A5,".")</f>
        <v>Atributo que contiene la informacion del nombre del objeto dominio   en el contexto de Conjuntos Residenciales.</v>
      </c>
      <c r="S16" s="108"/>
    </row>
    <row r="23" spans="5:5" x14ac:dyDescent="0.25">
      <c r="E23" s="157"/>
    </row>
  </sheetData>
  <mergeCells count="13">
    <mergeCell ref="B1:S1"/>
    <mergeCell ref="A2:S2"/>
    <mergeCell ref="A3:I3"/>
    <mergeCell ref="J3:Q3"/>
    <mergeCell ref="R3:R4"/>
    <mergeCell ref="S3:S4"/>
    <mergeCell ref="A5:A16"/>
    <mergeCell ref="S5:S16"/>
    <mergeCell ref="B15:B16"/>
    <mergeCell ref="B5:B7"/>
    <mergeCell ref="B8:B9"/>
    <mergeCell ref="B13:B14"/>
    <mergeCell ref="B10:B12"/>
  </mergeCells>
  <hyperlinks>
    <hyperlink ref="D7" location="'Residente ConjutosResidenciales'!B8" display="TipoInmueble" xr:uid="{7D0F26B2-16BB-4D32-9316-813C92F956E5}"/>
    <hyperlink ref="D11" location="'Conjuntos Residenciales'!B13" display="TipoZonaInmueble" xr:uid="{34181B3B-B9AE-4560-8F56-BDA0D6B05CD0}"/>
    <hyperlink ref="D12" location="'Conjuntos Residenciales'!B16" display="ConjuntoResidencial" xr:uid="{A2395E41-D8AC-474A-BE9C-32FCADDD0F2C}"/>
    <hyperlink ref="D6" location="'Conjuntos Residenciales'!B10" display="ZonaInmueble" xr:uid="{E001D96D-791E-43A6-B8BA-893283B14284}"/>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D8" sqref="D8"/>
    </sheetView>
  </sheetViews>
  <sheetFormatPr baseColWidth="10" defaultColWidth="11.42578125" defaultRowHeight="15" x14ac:dyDescent="0.25"/>
  <cols>
    <col min="1" max="1" width="22.5703125" style="13" bestFit="1" customWidth="1"/>
    <col min="2" max="2" width="22.28515625" style="13" bestFit="1" customWidth="1"/>
    <col min="3" max="3" width="24" style="13" bestFit="1" customWidth="1"/>
    <col min="4" max="5" width="38.28515625" style="13" bestFit="1" customWidth="1"/>
    <col min="6" max="6" width="64" style="13" bestFit="1" customWidth="1"/>
    <col min="7" max="16384" width="11.42578125" style="13"/>
  </cols>
  <sheetData>
    <row r="1" spans="1:6" x14ac:dyDescent="0.25">
      <c r="A1" s="12" t="s">
        <v>28</v>
      </c>
      <c r="B1" s="94" t="str">
        <f>Contextos!B12</f>
        <v>Agendas</v>
      </c>
      <c r="C1" s="94"/>
      <c r="D1" s="94"/>
      <c r="E1" s="94"/>
      <c r="F1" s="95"/>
    </row>
    <row r="2" spans="1:6" ht="38.25" customHeight="1" x14ac:dyDescent="0.25">
      <c r="A2" s="14" t="s">
        <v>29</v>
      </c>
      <c r="B2" s="96" t="str">
        <f>Contextos!D12</f>
        <v>Contexto cuya motivación es la de gestionar la estructura de la agenda que va a tener una zona común durante un un tiempo estimado y sus diferentes turnos.</v>
      </c>
      <c r="C2" s="96"/>
      <c r="D2" s="96"/>
      <c r="E2" s="96"/>
      <c r="F2" s="97"/>
    </row>
    <row r="3" spans="1:6" x14ac:dyDescent="0.25">
      <c r="A3" s="14" t="s">
        <v>3</v>
      </c>
      <c r="B3" s="98" t="str">
        <f>Contextos!A12</f>
        <v>Core/Básico</v>
      </c>
      <c r="C3" s="98"/>
      <c r="D3" s="98"/>
      <c r="E3" s="98"/>
      <c r="F3" s="99"/>
    </row>
    <row r="4" spans="1:6" x14ac:dyDescent="0.25">
      <c r="A4" s="100" t="s">
        <v>30</v>
      </c>
      <c r="B4" s="101"/>
      <c r="C4" s="101"/>
      <c r="D4" s="101"/>
      <c r="E4" s="101"/>
      <c r="F4" s="102"/>
    </row>
    <row r="5" spans="1:6" x14ac:dyDescent="0.25">
      <c r="A5" s="15" t="s">
        <v>31</v>
      </c>
      <c r="B5" s="16" t="s">
        <v>32</v>
      </c>
      <c r="C5" s="103" t="s">
        <v>33</v>
      </c>
      <c r="D5" s="103" t="s">
        <v>34</v>
      </c>
      <c r="E5" s="103"/>
      <c r="F5" s="104" t="s">
        <v>1</v>
      </c>
    </row>
    <row r="6" spans="1:6" x14ac:dyDescent="0.25">
      <c r="A6" s="15" t="s">
        <v>35</v>
      </c>
      <c r="B6" s="16" t="s">
        <v>36</v>
      </c>
      <c r="C6" s="103"/>
      <c r="D6" s="103"/>
      <c r="E6" s="103"/>
      <c r="F6" s="104"/>
    </row>
    <row r="7" spans="1:6" x14ac:dyDescent="0.25">
      <c r="A7" s="15" t="s">
        <v>37</v>
      </c>
      <c r="B7" s="16" t="s">
        <v>38</v>
      </c>
      <c r="C7" s="103"/>
      <c r="D7" s="16" t="s">
        <v>39</v>
      </c>
      <c r="E7" s="17" t="s">
        <v>4</v>
      </c>
      <c r="F7" s="104"/>
    </row>
    <row r="8" spans="1:6" ht="30" x14ac:dyDescent="0.25">
      <c r="A8" s="24" t="s">
        <v>103</v>
      </c>
      <c r="B8" s="23" t="s">
        <v>64</v>
      </c>
      <c r="C8" s="24" t="s">
        <v>20</v>
      </c>
      <c r="D8" s="45" t="str">
        <f>B8&amp;" "&amp;A8&amp;"-0001"</f>
        <v>Agenda ConjuntosResidenciales-0001</v>
      </c>
      <c r="E8" s="39" t="str">
        <f>_xlfn.CONCAT(A8," de ",B8)</f>
        <v>ConjuntosResidenciales de Agenda</v>
      </c>
      <c r="F8" s="25" t="s">
        <v>88</v>
      </c>
    </row>
    <row r="9" spans="1:6" ht="30" x14ac:dyDescent="0.25">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7"/>
  <sheetViews>
    <sheetView workbookViewId="0">
      <selection activeCell="R6" sqref="R6"/>
    </sheetView>
  </sheetViews>
  <sheetFormatPr baseColWidth="10" defaultColWidth="11.42578125" defaultRowHeight="15" x14ac:dyDescent="0.25"/>
  <cols>
    <col min="1" max="1" width="14.5703125" style="13" customWidth="1"/>
    <col min="2" max="2" width="19.85546875" style="13" customWidth="1"/>
    <col min="3" max="3" width="23.42578125" style="13" bestFit="1" customWidth="1"/>
    <col min="4" max="4" width="19.42578125" style="13" bestFit="1"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31"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18" t="str">
        <f>Agendas!D8</f>
        <v>Agenda ConjuntosResidenciales-0001</v>
      </c>
      <c r="C1" s="118"/>
      <c r="D1" s="118"/>
      <c r="E1" s="118"/>
      <c r="F1" s="118"/>
      <c r="G1" s="118"/>
      <c r="H1" s="118"/>
      <c r="I1" s="118"/>
      <c r="J1" s="118"/>
      <c r="K1" s="118"/>
      <c r="L1" s="118"/>
      <c r="M1" s="118"/>
      <c r="N1" s="118"/>
      <c r="O1" s="118"/>
      <c r="P1" s="118"/>
      <c r="Q1" s="118"/>
      <c r="R1" s="118"/>
      <c r="S1" s="119"/>
    </row>
    <row r="2" spans="1:19" x14ac:dyDescent="0.25">
      <c r="A2" s="100"/>
      <c r="B2" s="101"/>
      <c r="C2" s="101"/>
      <c r="D2" s="101"/>
      <c r="E2" s="101"/>
      <c r="F2" s="101"/>
      <c r="G2" s="101"/>
      <c r="H2" s="101"/>
      <c r="I2" s="101"/>
      <c r="J2" s="101"/>
      <c r="K2" s="101"/>
      <c r="L2" s="101"/>
      <c r="M2" s="101"/>
      <c r="N2" s="101"/>
      <c r="O2" s="101"/>
      <c r="P2" s="101"/>
      <c r="Q2" s="101"/>
      <c r="R2" s="101"/>
      <c r="S2" s="102"/>
    </row>
    <row r="3" spans="1:19" x14ac:dyDescent="0.25">
      <c r="A3" s="120" t="s">
        <v>42</v>
      </c>
      <c r="B3" s="121"/>
      <c r="C3" s="121"/>
      <c r="D3" s="121"/>
      <c r="E3" s="121"/>
      <c r="F3" s="121"/>
      <c r="G3" s="121"/>
      <c r="H3" s="121"/>
      <c r="I3" s="121"/>
      <c r="J3" s="121" t="s">
        <v>43</v>
      </c>
      <c r="K3" s="121"/>
      <c r="L3" s="121"/>
      <c r="M3" s="121"/>
      <c r="N3" s="121"/>
      <c r="O3" s="121"/>
      <c r="P3" s="121"/>
      <c r="Q3" s="121"/>
      <c r="R3" s="122" t="s">
        <v>29</v>
      </c>
      <c r="S3" s="124" t="s">
        <v>44</v>
      </c>
    </row>
    <row r="4" spans="1:19" ht="15.75" thickBot="1" x14ac:dyDescent="0.3">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23"/>
      <c r="S4" s="125"/>
    </row>
    <row r="5" spans="1:19" ht="28.9" customHeight="1" thickTop="1" thickBot="1" x14ac:dyDescent="0.3">
      <c r="A5" s="127" t="s">
        <v>60</v>
      </c>
      <c r="B5" s="130" t="s">
        <v>41</v>
      </c>
      <c r="C5" s="51" t="s">
        <v>55</v>
      </c>
      <c r="D5" s="51" t="s">
        <v>56</v>
      </c>
      <c r="E5" s="51">
        <v>32</v>
      </c>
      <c r="F5" s="51">
        <v>32</v>
      </c>
      <c r="G5" s="51"/>
      <c r="H5" s="51"/>
      <c r="I5" s="51"/>
      <c r="J5" s="51" t="str">
        <f>_xlfn.CONCAT(C5,$B$5)</f>
        <v>identificadorZonaComun</v>
      </c>
      <c r="K5" s="51" t="s">
        <v>59</v>
      </c>
      <c r="L5" s="51" t="s">
        <v>56</v>
      </c>
      <c r="M5" s="51">
        <v>32</v>
      </c>
      <c r="N5" s="51">
        <v>32</v>
      </c>
      <c r="O5" s="51"/>
      <c r="P5" s="51"/>
      <c r="Q5" s="52"/>
      <c r="R5" s="154" t="str">
        <f>_xlfn.CONCAT("Atributo que contiene la informacion del ",C5," del objeto dominio ",B5,"  en el contexto de ",$A$5,".")</f>
        <v>Atributo que contiene la informacion del identificador del objeto dominio ZonaComun  en el contexto de Conjuntos Residenciales.</v>
      </c>
      <c r="S5" s="163" t="s">
        <v>41</v>
      </c>
    </row>
    <row r="6" spans="1:19" ht="30.6" customHeight="1" thickTop="1" thickBot="1" x14ac:dyDescent="0.3">
      <c r="A6" s="105"/>
      <c r="B6" s="131"/>
      <c r="C6" s="51" t="s">
        <v>4</v>
      </c>
      <c r="D6" s="51" t="s">
        <v>58</v>
      </c>
      <c r="E6" s="51">
        <v>3</v>
      </c>
      <c r="F6" s="51">
        <v>50</v>
      </c>
      <c r="G6" s="51"/>
      <c r="H6" s="51"/>
      <c r="I6" s="51"/>
      <c r="J6" s="51" t="str">
        <f t="shared" ref="J6:J15" si="0">_xlfn.CONCAT(C6,$B$5)</f>
        <v>NombreZonaComun</v>
      </c>
      <c r="K6" s="51" t="s">
        <v>59</v>
      </c>
      <c r="L6" s="51" t="s">
        <v>58</v>
      </c>
      <c r="M6" s="51">
        <v>1</v>
      </c>
      <c r="N6" s="51">
        <v>50</v>
      </c>
      <c r="O6" s="51"/>
      <c r="P6" s="51"/>
      <c r="Q6" s="52"/>
      <c r="R6" s="154" t="str">
        <f t="shared" ref="R6:R9" si="1">_xlfn.CONCAT("Atributo que contiene la informacion del ",C6," del objeto dominio ",B6,"  en el contexto de ",$A$5,".")</f>
        <v>Atributo que contiene la informacion del Nombre del objeto dominio   en el contexto de Conjuntos Residenciales.</v>
      </c>
      <c r="S6" s="163"/>
    </row>
    <row r="7" spans="1:19" ht="30.6" customHeight="1" thickTop="1" thickBot="1" x14ac:dyDescent="0.3">
      <c r="A7" s="105"/>
      <c r="B7" s="131"/>
      <c r="C7" s="51" t="s">
        <v>95</v>
      </c>
      <c r="D7" s="51" t="s">
        <v>93</v>
      </c>
      <c r="E7" s="51">
        <v>1</v>
      </c>
      <c r="F7" s="51">
        <v>4</v>
      </c>
      <c r="G7" s="51"/>
      <c r="H7" s="51"/>
      <c r="I7" s="51"/>
      <c r="J7" s="51" t="str">
        <f t="shared" si="0"/>
        <v>capacidadPersonasZonaComun</v>
      </c>
      <c r="K7" s="51" t="s">
        <v>59</v>
      </c>
      <c r="L7" s="51" t="s">
        <v>93</v>
      </c>
      <c r="M7" s="51">
        <v>1</v>
      </c>
      <c r="N7" s="51">
        <v>4</v>
      </c>
      <c r="O7" s="51"/>
      <c r="P7" s="51"/>
      <c r="Q7" s="52"/>
      <c r="R7" s="154" t="str">
        <f t="shared" si="1"/>
        <v>Atributo que contiene la informacion del capacidadPersonas del objeto dominio   en el contexto de Conjuntos Residenciales.</v>
      </c>
      <c r="S7" s="163"/>
    </row>
    <row r="8" spans="1:19" ht="30.6" customHeight="1" thickTop="1" thickBot="1" x14ac:dyDescent="0.3">
      <c r="A8" s="105"/>
      <c r="B8" s="131"/>
      <c r="C8" s="51" t="s">
        <v>108</v>
      </c>
      <c r="D8" s="51" t="s">
        <v>58</v>
      </c>
      <c r="E8" s="51">
        <v>0</v>
      </c>
      <c r="F8" s="51">
        <v>255</v>
      </c>
      <c r="G8" s="51"/>
      <c r="H8" s="51"/>
      <c r="I8" s="51"/>
      <c r="J8" s="51" t="str">
        <f t="shared" si="0"/>
        <v>descripcionZonaComun</v>
      </c>
      <c r="K8" s="51" t="s">
        <v>59</v>
      </c>
      <c r="L8" s="51" t="s">
        <v>58</v>
      </c>
      <c r="M8" s="51">
        <v>0</v>
      </c>
      <c r="N8" s="51">
        <v>255</v>
      </c>
      <c r="O8" s="51"/>
      <c r="P8" s="51"/>
      <c r="Q8" s="52"/>
      <c r="R8" s="154" t="str">
        <f t="shared" si="1"/>
        <v>Atributo que contiene la informacion del descripcion del objeto dominio   en el contexto de Conjuntos Residenciales.</v>
      </c>
      <c r="S8" s="163"/>
    </row>
    <row r="9" spans="1:19" ht="30.6" customHeight="1" thickTop="1" thickBot="1" x14ac:dyDescent="0.3">
      <c r="A9" s="105"/>
      <c r="B9" s="131"/>
      <c r="C9" s="51" t="s">
        <v>96</v>
      </c>
      <c r="D9" s="51" t="s">
        <v>93</v>
      </c>
      <c r="E9" s="51">
        <v>1</v>
      </c>
      <c r="F9" s="51">
        <v>3</v>
      </c>
      <c r="G9" s="51"/>
      <c r="H9" s="51"/>
      <c r="I9" s="51"/>
      <c r="J9" s="51" t="str">
        <f t="shared" si="0"/>
        <v>tiempoUsoZonaComun</v>
      </c>
      <c r="K9" s="51" t="s">
        <v>59</v>
      </c>
      <c r="L9" s="51" t="s">
        <v>93</v>
      </c>
      <c r="M9" s="51">
        <v>1</v>
      </c>
      <c r="N9" s="51">
        <v>3</v>
      </c>
      <c r="O9" s="51"/>
      <c r="P9" s="51"/>
      <c r="Q9" s="52"/>
      <c r="R9" s="154" t="str">
        <f t="shared" si="1"/>
        <v>Atributo que contiene la informacion del tiempoUso del objeto dominio   en el contexto de Conjuntos Residenciales.</v>
      </c>
      <c r="S9" s="163"/>
    </row>
    <row r="10" spans="1:19" ht="16.5" thickTop="1" thickBot="1" x14ac:dyDescent="0.3">
      <c r="A10" s="105"/>
      <c r="B10" s="131"/>
      <c r="C10" s="51" t="s">
        <v>97</v>
      </c>
      <c r="D10" s="155" t="s">
        <v>104</v>
      </c>
      <c r="E10" s="51"/>
      <c r="F10" s="51"/>
      <c r="G10" s="51"/>
      <c r="H10" s="51"/>
      <c r="I10" s="51"/>
      <c r="J10" s="51"/>
      <c r="K10" s="51"/>
      <c r="L10" s="51"/>
      <c r="M10" s="51"/>
      <c r="N10" s="51"/>
      <c r="O10" s="51"/>
      <c r="P10" s="51"/>
      <c r="Q10" s="52"/>
      <c r="R10" s="154"/>
      <c r="S10" s="163"/>
    </row>
    <row r="11" spans="1:19" ht="16.5" thickTop="1" thickBot="1" x14ac:dyDescent="0.3">
      <c r="A11" s="105"/>
      <c r="B11" s="132"/>
      <c r="C11" s="51" t="s">
        <v>62</v>
      </c>
      <c r="D11" s="155" t="s">
        <v>61</v>
      </c>
      <c r="E11" s="51"/>
      <c r="F11" s="51"/>
      <c r="G11" s="51"/>
      <c r="H11" s="51"/>
      <c r="I11" s="51"/>
      <c r="J11" s="51"/>
      <c r="K11" s="51"/>
      <c r="L11" s="51"/>
      <c r="M11" s="51"/>
      <c r="N11" s="51"/>
      <c r="O11" s="51"/>
      <c r="P11" s="51"/>
      <c r="Q11" s="52"/>
      <c r="R11" s="154"/>
      <c r="S11" s="163"/>
    </row>
    <row r="12" spans="1:19" ht="46.5" thickTop="1" thickBot="1" x14ac:dyDescent="0.3">
      <c r="A12" s="105"/>
      <c r="B12" s="158" t="s">
        <v>104</v>
      </c>
      <c r="C12" s="159" t="s">
        <v>55</v>
      </c>
      <c r="D12" s="159" t="s">
        <v>56</v>
      </c>
      <c r="E12" s="159">
        <v>32</v>
      </c>
      <c r="F12" s="159">
        <v>32</v>
      </c>
      <c r="G12" s="159"/>
      <c r="H12" s="159"/>
      <c r="I12" s="159"/>
      <c r="J12" s="159" t="str">
        <f t="shared" si="0"/>
        <v>identificadorZonaComun</v>
      </c>
      <c r="K12" s="159"/>
      <c r="L12" s="159" t="s">
        <v>56</v>
      </c>
      <c r="M12" s="159">
        <v>32</v>
      </c>
      <c r="N12" s="159">
        <v>32</v>
      </c>
      <c r="O12" s="159"/>
      <c r="P12" s="159"/>
      <c r="Q12" s="160"/>
      <c r="R12" s="164" t="str">
        <f>_xlfn.CONCAT("Atributo que contiene la informacion del ",C12," del objeto dominio ",B12,"  en el contexto de ",$A$5,".")</f>
        <v>Atributo que contiene la informacion del identificador del objeto dominio UnidadTiempoUso  en el contexto de Conjuntos Residenciales.</v>
      </c>
      <c r="S12" s="163"/>
    </row>
    <row r="13" spans="1:19" ht="31.5" thickTop="1" thickBot="1" x14ac:dyDescent="0.3">
      <c r="A13" s="105"/>
      <c r="B13" s="161"/>
      <c r="C13" s="159" t="s">
        <v>57</v>
      </c>
      <c r="D13" s="159" t="s">
        <v>58</v>
      </c>
      <c r="E13" s="159">
        <v>3</v>
      </c>
      <c r="F13" s="159">
        <v>50</v>
      </c>
      <c r="G13" s="159"/>
      <c r="H13" s="159"/>
      <c r="I13" s="159"/>
      <c r="J13" s="159" t="str">
        <f t="shared" si="0"/>
        <v>nombreZonaComun</v>
      </c>
      <c r="K13" s="159"/>
      <c r="L13" s="159" t="s">
        <v>58</v>
      </c>
      <c r="M13" s="159">
        <v>3</v>
      </c>
      <c r="N13" s="159">
        <v>50</v>
      </c>
      <c r="O13" s="159"/>
      <c r="P13" s="159"/>
      <c r="Q13" s="160"/>
      <c r="R13" s="164" t="str">
        <f t="shared" ref="R13:R15" si="2">_xlfn.CONCAT("Atributo que contiene la informacion del ",C13," del objeto dominio ",B13,"  en el contexto de ",$A$5,".")</f>
        <v>Atributo que contiene la informacion del nombre del objeto dominio   en el contexto de Conjuntos Residenciales.</v>
      </c>
      <c r="S13" s="163"/>
    </row>
    <row r="14" spans="1:19" ht="31.5" thickTop="1" thickBot="1" x14ac:dyDescent="0.3">
      <c r="A14" s="105"/>
      <c r="B14" s="161"/>
      <c r="C14" s="159" t="s">
        <v>105</v>
      </c>
      <c r="D14" s="159" t="s">
        <v>58</v>
      </c>
      <c r="E14" s="159">
        <v>1</v>
      </c>
      <c r="F14" s="159">
        <v>6</v>
      </c>
      <c r="G14" s="159"/>
      <c r="H14" s="159"/>
      <c r="I14" s="159"/>
      <c r="J14" s="159" t="str">
        <f t="shared" si="0"/>
        <v>abreviaturaZonaComun</v>
      </c>
      <c r="K14" s="159"/>
      <c r="L14" s="159" t="s">
        <v>58</v>
      </c>
      <c r="M14" s="159">
        <v>1</v>
      </c>
      <c r="N14" s="159">
        <v>6</v>
      </c>
      <c r="O14" s="159"/>
      <c r="P14" s="159"/>
      <c r="Q14" s="160"/>
      <c r="R14" s="164" t="str">
        <f t="shared" si="2"/>
        <v>Atributo que contiene la informacion del abreviatura del objeto dominio   en el contexto de Conjuntos Residenciales.</v>
      </c>
      <c r="S14" s="163"/>
    </row>
    <row r="15" spans="1:19" ht="31.5" thickTop="1" thickBot="1" x14ac:dyDescent="0.3">
      <c r="A15" s="105"/>
      <c r="B15" s="162"/>
      <c r="C15" s="159" t="s">
        <v>106</v>
      </c>
      <c r="D15" s="159" t="s">
        <v>107</v>
      </c>
      <c r="E15" s="159">
        <v>1</v>
      </c>
      <c r="F15" s="159">
        <v>10</v>
      </c>
      <c r="G15" s="159"/>
      <c r="H15" s="159"/>
      <c r="I15" s="159"/>
      <c r="J15" s="159" t="str">
        <f t="shared" si="0"/>
        <v>enBaseZonaComun</v>
      </c>
      <c r="K15" s="159"/>
      <c r="L15" s="159" t="s">
        <v>107</v>
      </c>
      <c r="M15" s="159">
        <v>1</v>
      </c>
      <c r="N15" s="159">
        <v>10</v>
      </c>
      <c r="O15" s="159"/>
      <c r="P15" s="159"/>
      <c r="Q15" s="160"/>
      <c r="R15" s="164" t="str">
        <f t="shared" si="2"/>
        <v>Atributo que contiene la informacion del enBase del objeto dominio   en el contexto de Conjuntos Residenciales.</v>
      </c>
      <c r="S15" s="163"/>
    </row>
    <row r="16" spans="1:19" ht="60.6" customHeight="1" thickTop="1" thickBot="1" x14ac:dyDescent="0.3">
      <c r="A16" s="105"/>
      <c r="B16" s="109" t="s">
        <v>61</v>
      </c>
      <c r="C16" s="32" t="s">
        <v>55</v>
      </c>
      <c r="D16" s="32" t="s">
        <v>56</v>
      </c>
      <c r="E16" s="32">
        <v>32</v>
      </c>
      <c r="F16" s="32">
        <v>32</v>
      </c>
      <c r="G16" s="32"/>
      <c r="H16" s="32"/>
      <c r="I16" s="32"/>
      <c r="J16" s="32" t="str">
        <f>_xlfn.CONCAT(C16,$B$16)</f>
        <v>identificadorConjuntoResidencial</v>
      </c>
      <c r="K16" s="32" t="s">
        <v>59</v>
      </c>
      <c r="L16" s="32" t="s">
        <v>56</v>
      </c>
      <c r="M16" s="32">
        <v>32</v>
      </c>
      <c r="N16" s="32">
        <v>32</v>
      </c>
      <c r="O16" s="32"/>
      <c r="P16" s="32"/>
      <c r="Q16" s="54"/>
      <c r="R16" s="61" t="str">
        <f>_xlfn.CONCAT("Atributo que contiene la informacion del ",C16," del objeto dominio ",B16,"  en el contexto de ",$A$5,".")</f>
        <v>Atributo que contiene la informacion del identificador del objeto dominio ConjuntoResidencial  en el contexto de Conjuntos Residenciales.</v>
      </c>
      <c r="S16" s="163"/>
    </row>
    <row r="17" spans="1:19" ht="45" customHeight="1" thickTop="1" thickBot="1" x14ac:dyDescent="0.3">
      <c r="A17" s="106"/>
      <c r="B17" s="109"/>
      <c r="C17" s="32" t="s">
        <v>57</v>
      </c>
      <c r="D17" s="32" t="s">
        <v>58</v>
      </c>
      <c r="E17" s="32">
        <v>1</v>
      </c>
      <c r="F17" s="32">
        <v>50</v>
      </c>
      <c r="G17" s="32"/>
      <c r="H17" s="32"/>
      <c r="I17" s="32"/>
      <c r="J17" s="32" t="str">
        <f>_xlfn.CONCAT(C17,$B$16)</f>
        <v>nombreConjuntoResidencial</v>
      </c>
      <c r="K17" s="32" t="s">
        <v>59</v>
      </c>
      <c r="L17" s="32" t="s">
        <v>58</v>
      </c>
      <c r="M17" s="32">
        <v>1</v>
      </c>
      <c r="N17" s="32">
        <v>50</v>
      </c>
      <c r="O17" s="32"/>
      <c r="P17" s="32"/>
      <c r="Q17" s="54"/>
      <c r="R17" s="61" t="str">
        <f>_xlfn.CONCAT("Atributo que contiene la informacion del ",C17," del objeto dominio ",B17,"  en el contexto de ",$A$5,".")</f>
        <v>Atributo que contiene la informacion del nombre del objeto dominio   en el contexto de Conjuntos Residenciales.</v>
      </c>
      <c r="S17" s="163"/>
    </row>
  </sheetData>
  <mergeCells count="11">
    <mergeCell ref="A5:A17"/>
    <mergeCell ref="S5:S17"/>
    <mergeCell ref="B16:B17"/>
    <mergeCell ref="B5:B11"/>
    <mergeCell ref="B12:B15"/>
    <mergeCell ref="B1:S1"/>
    <mergeCell ref="A2:S2"/>
    <mergeCell ref="A3:I3"/>
    <mergeCell ref="J3:Q3"/>
    <mergeCell ref="R3:R4"/>
    <mergeCell ref="S3:S4"/>
  </mergeCells>
  <hyperlinks>
    <hyperlink ref="D10" location="'Agenda ConjuntosResidenciales-0'!B12" display="UnidadTiempoUso" xr:uid="{7145F6A3-A24A-4F31-B98A-658FB31AEB42}"/>
    <hyperlink ref="D11" location="'Agenda ConjuntosResidenciales-0'!B16" display="ConjuntoResidencial" xr:uid="{C0CAC5E7-0ED2-485E-BFD1-A6C07FEF9C49}"/>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election activeCell="A9" sqref="A9"/>
    </sheetView>
  </sheetViews>
  <sheetFormatPr baseColWidth="10" defaultColWidth="11.42578125" defaultRowHeight="15" x14ac:dyDescent="0.25"/>
  <cols>
    <col min="1" max="1" width="19.85546875" style="13" bestFit="1" customWidth="1"/>
    <col min="2" max="2" width="22.28515625" style="13" bestFit="1" customWidth="1"/>
    <col min="3" max="3" width="24" style="13" bestFit="1" customWidth="1"/>
    <col min="4" max="4" width="33.42578125" style="13" bestFit="1" customWidth="1"/>
    <col min="5" max="5" width="38.28515625" style="13" bestFit="1" customWidth="1"/>
    <col min="6" max="6" width="64" style="13" bestFit="1" customWidth="1"/>
    <col min="7" max="16384" width="11.42578125" style="13"/>
  </cols>
  <sheetData>
    <row r="1" spans="1:6" x14ac:dyDescent="0.25">
      <c r="A1" s="12" t="s">
        <v>28</v>
      </c>
      <c r="B1" s="94" t="str">
        <f>Contextos!B15</f>
        <v>Reservas</v>
      </c>
      <c r="C1" s="94"/>
      <c r="D1" s="94"/>
      <c r="E1" s="94"/>
      <c r="F1" s="95"/>
    </row>
    <row r="2" spans="1:6" x14ac:dyDescent="0.25">
      <c r="A2" s="14" t="s">
        <v>29</v>
      </c>
      <c r="B2" s="96" t="str">
        <f>Contextos!D15</f>
        <v>Contexto cuya intención enfocarse en la gestión del proceso de reservas de los recursos, incluyendo la disponibilidad de los recursos y las reservas que los residentes realizan.</v>
      </c>
      <c r="C2" s="96"/>
      <c r="D2" s="96"/>
      <c r="E2" s="96"/>
      <c r="F2" s="97"/>
    </row>
    <row r="3" spans="1:6" x14ac:dyDescent="0.25">
      <c r="A3" s="14" t="s">
        <v>3</v>
      </c>
      <c r="B3" s="98" t="str">
        <f>Contextos!A15</f>
        <v>Core/Básico</v>
      </c>
      <c r="C3" s="98"/>
      <c r="D3" s="98"/>
      <c r="E3" s="98"/>
      <c r="F3" s="99"/>
    </row>
    <row r="4" spans="1:6" x14ac:dyDescent="0.25">
      <c r="A4" s="100" t="s">
        <v>30</v>
      </c>
      <c r="B4" s="101"/>
      <c r="C4" s="101"/>
      <c r="D4" s="101"/>
      <c r="E4" s="101"/>
      <c r="F4" s="102"/>
    </row>
    <row r="5" spans="1:6" x14ac:dyDescent="0.25">
      <c r="A5" s="15" t="s">
        <v>31</v>
      </c>
      <c r="B5" s="16" t="s">
        <v>32</v>
      </c>
      <c r="C5" s="103" t="s">
        <v>33</v>
      </c>
      <c r="D5" s="103" t="s">
        <v>34</v>
      </c>
      <c r="E5" s="103"/>
      <c r="F5" s="104" t="s">
        <v>1</v>
      </c>
    </row>
    <row r="6" spans="1:6" x14ac:dyDescent="0.25">
      <c r="A6" s="15" t="s">
        <v>35</v>
      </c>
      <c r="B6" s="16" t="s">
        <v>36</v>
      </c>
      <c r="C6" s="103"/>
      <c r="D6" s="103"/>
      <c r="E6" s="103"/>
      <c r="F6" s="104"/>
    </row>
    <row r="7" spans="1:6" x14ac:dyDescent="0.25">
      <c r="A7" s="15" t="s">
        <v>37</v>
      </c>
      <c r="B7" s="16" t="s">
        <v>38</v>
      </c>
      <c r="C7" s="103"/>
      <c r="D7" s="16" t="s">
        <v>39</v>
      </c>
      <c r="E7" s="17" t="s">
        <v>4</v>
      </c>
      <c r="F7" s="104"/>
    </row>
    <row r="8" spans="1:6" ht="40.5" customHeight="1" x14ac:dyDescent="0.25">
      <c r="A8" s="23" t="s">
        <v>83</v>
      </c>
      <c r="B8" s="24" t="s">
        <v>25</v>
      </c>
      <c r="C8" s="24" t="s">
        <v>20</v>
      </c>
      <c r="D8" s="48" t="str">
        <f>B8&amp;"-0001"</f>
        <v>Reserva-0001</v>
      </c>
      <c r="E8" s="49" t="str">
        <f t="shared" ref="E8:E9" si="0">_xlfn.CONCAT(A8," de ",B8)</f>
        <v>Agendas de Reserva</v>
      </c>
      <c r="F8" s="25" t="s">
        <v>77</v>
      </c>
    </row>
    <row r="9" spans="1:6" ht="30" x14ac:dyDescent="0.25">
      <c r="A9" s="18" t="s">
        <v>80</v>
      </c>
      <c r="B9" s="19" t="s">
        <v>25</v>
      </c>
      <c r="C9" s="19" t="s">
        <v>20</v>
      </c>
      <c r="D9" s="20" t="str">
        <f>B9&amp;"-0002"</f>
        <v>Reserva-0002</v>
      </c>
      <c r="E9" s="21" t="str">
        <f t="shared" si="0"/>
        <v>Residentes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27"/>
  <sheetViews>
    <sheetView tabSelected="1" zoomScale="110" zoomScaleNormal="110" workbookViewId="0">
      <selection activeCell="D20" sqref="D20"/>
    </sheetView>
  </sheetViews>
  <sheetFormatPr baseColWidth="10" defaultColWidth="11.42578125" defaultRowHeight="15" x14ac:dyDescent="0.25"/>
  <cols>
    <col min="1" max="1" width="12.5703125" style="13" bestFit="1" customWidth="1"/>
    <col min="2" max="2" width="19.85546875" style="13" customWidth="1"/>
    <col min="3" max="3" width="31" style="13" bestFit="1" customWidth="1"/>
    <col min="4" max="4" width="19.42578125" style="13" bestFit="1"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42.140625"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18" t="str">
        <f>Reservas!D8</f>
        <v>Reserva-0001</v>
      </c>
      <c r="C1" s="118"/>
      <c r="D1" s="118"/>
      <c r="E1" s="118"/>
      <c r="F1" s="118"/>
      <c r="G1" s="118"/>
      <c r="H1" s="118"/>
      <c r="I1" s="118"/>
      <c r="J1" s="118"/>
      <c r="K1" s="118"/>
      <c r="L1" s="118"/>
      <c r="M1" s="118"/>
      <c r="N1" s="118"/>
      <c r="O1" s="118"/>
      <c r="P1" s="118"/>
      <c r="Q1" s="118"/>
      <c r="R1" s="118"/>
      <c r="S1" s="119"/>
    </row>
    <row r="2" spans="1:19" x14ac:dyDescent="0.25">
      <c r="A2" s="100"/>
      <c r="B2" s="101"/>
      <c r="C2" s="101"/>
      <c r="D2" s="101"/>
      <c r="E2" s="101"/>
      <c r="F2" s="101"/>
      <c r="G2" s="101"/>
      <c r="H2" s="101"/>
      <c r="I2" s="101"/>
      <c r="J2" s="101"/>
      <c r="K2" s="101"/>
      <c r="L2" s="101"/>
      <c r="M2" s="101"/>
      <c r="N2" s="101"/>
      <c r="O2" s="101"/>
      <c r="P2" s="101"/>
      <c r="Q2" s="101"/>
      <c r="R2" s="101"/>
      <c r="S2" s="102"/>
    </row>
    <row r="3" spans="1:19" x14ac:dyDescent="0.25">
      <c r="A3" s="120" t="s">
        <v>42</v>
      </c>
      <c r="B3" s="121"/>
      <c r="C3" s="121"/>
      <c r="D3" s="121"/>
      <c r="E3" s="121"/>
      <c r="F3" s="121"/>
      <c r="G3" s="121"/>
      <c r="H3" s="121"/>
      <c r="I3" s="121"/>
      <c r="J3" s="121" t="s">
        <v>43</v>
      </c>
      <c r="K3" s="121"/>
      <c r="L3" s="121"/>
      <c r="M3" s="121"/>
      <c r="N3" s="121"/>
      <c r="O3" s="121"/>
      <c r="P3" s="121"/>
      <c r="Q3" s="121"/>
      <c r="R3" s="122" t="s">
        <v>29</v>
      </c>
      <c r="S3" s="124" t="s">
        <v>44</v>
      </c>
    </row>
    <row r="4" spans="1:19" ht="15.75" thickBot="1" x14ac:dyDescent="0.3">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26"/>
      <c r="S4" s="125"/>
    </row>
    <row r="5" spans="1:19" ht="46.5" thickTop="1" thickBot="1" x14ac:dyDescent="0.3">
      <c r="A5" s="135" t="s">
        <v>83</v>
      </c>
      <c r="B5" s="137" t="s">
        <v>41</v>
      </c>
      <c r="C5" s="51" t="s">
        <v>118</v>
      </c>
      <c r="D5" s="51" t="s">
        <v>56</v>
      </c>
      <c r="E5" s="51">
        <v>32</v>
      </c>
      <c r="F5" s="51">
        <v>32</v>
      </c>
      <c r="G5" s="51"/>
      <c r="H5" s="51"/>
      <c r="I5" s="51"/>
      <c r="J5" s="51" t="str">
        <f>_xlfn.CONCAT(C5,"(",$B$5,")")</f>
        <v>identificadorConjuntoResidencial(ZonaComun)</v>
      </c>
      <c r="K5" s="51" t="s">
        <v>59</v>
      </c>
      <c r="L5" s="51" t="s">
        <v>56</v>
      </c>
      <c r="M5" s="51">
        <v>32</v>
      </c>
      <c r="N5" s="51">
        <v>32</v>
      </c>
      <c r="O5" s="51"/>
      <c r="P5" s="51"/>
      <c r="Q5" s="51"/>
      <c r="R5" s="154" t="str">
        <f>_xlfn.CONCAT("Atributo que contiene la informacion del ",C5," del objeto dominio ",B5,"  en el contexto de ",$A$5,".")</f>
        <v>Atributo que contiene la informacion del identificadorConjuntoResidencial del objeto dominio ZonaComun  en el contexto de Agendas.</v>
      </c>
      <c r="S5" s="129" t="s">
        <v>65</v>
      </c>
    </row>
    <row r="6" spans="1:19" ht="46.5" thickTop="1" thickBot="1" x14ac:dyDescent="0.3">
      <c r="A6" s="135"/>
      <c r="B6" s="177"/>
      <c r="C6" s="51" t="s">
        <v>119</v>
      </c>
      <c r="D6" s="51" t="s">
        <v>58</v>
      </c>
      <c r="E6" s="51">
        <v>3</v>
      </c>
      <c r="F6" s="51">
        <v>50</v>
      </c>
      <c r="G6" s="51"/>
      <c r="H6" s="51"/>
      <c r="I6" s="51"/>
      <c r="J6" s="51" t="str">
        <f t="shared" ref="J6:J15" si="0">_xlfn.CONCAT(C6,"(",$B$5,")")</f>
        <v>nombreConjuntoResidencial(ZonaComun)</v>
      </c>
      <c r="K6" s="51" t="s">
        <v>59</v>
      </c>
      <c r="L6" s="51" t="s">
        <v>58</v>
      </c>
      <c r="M6" s="51">
        <v>3</v>
      </c>
      <c r="N6" s="51">
        <v>50</v>
      </c>
      <c r="O6" s="51"/>
      <c r="P6" s="51"/>
      <c r="Q6" s="51"/>
      <c r="R6" s="154" t="str">
        <f t="shared" ref="R6:R15" si="1">_xlfn.CONCAT("Atributo que contiene la informacion del ",C6," del objeto dominio ",B6,"  en el contexto de ",$A$5,".")</f>
        <v>Atributo que contiene la informacion del nombreConjuntoResidencial del objeto dominio   en el contexto de Agendas.</v>
      </c>
      <c r="S6" s="129"/>
    </row>
    <row r="7" spans="1:19" ht="46.5" thickTop="1" thickBot="1" x14ac:dyDescent="0.3">
      <c r="A7" s="135"/>
      <c r="B7" s="177"/>
      <c r="C7" s="51" t="s">
        <v>120</v>
      </c>
      <c r="D7" s="51" t="s">
        <v>56</v>
      </c>
      <c r="E7" s="51">
        <v>32</v>
      </c>
      <c r="F7" s="51">
        <v>32</v>
      </c>
      <c r="G7" s="51"/>
      <c r="H7" s="51"/>
      <c r="I7" s="51"/>
      <c r="J7" s="51" t="str">
        <f t="shared" si="0"/>
        <v>identificadorUnidadTiempoUso(ZonaComun)</v>
      </c>
      <c r="K7" s="51" t="s">
        <v>59</v>
      </c>
      <c r="L7" s="51" t="s">
        <v>56</v>
      </c>
      <c r="M7" s="51">
        <v>32</v>
      </c>
      <c r="N7" s="51">
        <v>32</v>
      </c>
      <c r="O7" s="51"/>
      <c r="P7" s="51"/>
      <c r="Q7" s="51"/>
      <c r="R7" s="154" t="str">
        <f t="shared" si="1"/>
        <v>Atributo que contiene la informacion del identificadorUnidadTiempoUso del objeto dominio   en el contexto de Agendas.</v>
      </c>
      <c r="S7" s="129"/>
    </row>
    <row r="8" spans="1:19" ht="46.5" thickTop="1" thickBot="1" x14ac:dyDescent="0.3">
      <c r="A8" s="135"/>
      <c r="B8" s="177"/>
      <c r="C8" s="51" t="s">
        <v>121</v>
      </c>
      <c r="D8" s="51" t="s">
        <v>58</v>
      </c>
      <c r="E8" s="51">
        <v>3</v>
      </c>
      <c r="F8" s="51">
        <v>50</v>
      </c>
      <c r="G8" s="51"/>
      <c r="H8" s="51"/>
      <c r="I8" s="51"/>
      <c r="J8" s="51" t="str">
        <f t="shared" si="0"/>
        <v>nombreUnidadTiempoUso(ZonaComun)</v>
      </c>
      <c r="K8" s="51" t="s">
        <v>59</v>
      </c>
      <c r="L8" s="51" t="s">
        <v>58</v>
      </c>
      <c r="M8" s="51">
        <v>3</v>
      </c>
      <c r="N8" s="51">
        <v>50</v>
      </c>
      <c r="O8" s="51"/>
      <c r="P8" s="51"/>
      <c r="Q8" s="51"/>
      <c r="R8" s="154" t="str">
        <f t="shared" si="1"/>
        <v>Atributo que contiene la informacion del nombreUnidadTiempoUso del objeto dominio   en el contexto de Agendas.</v>
      </c>
      <c r="S8" s="129"/>
    </row>
    <row r="9" spans="1:19" ht="46.5" thickTop="1" thickBot="1" x14ac:dyDescent="0.3">
      <c r="A9" s="135"/>
      <c r="B9" s="177"/>
      <c r="C9" s="51" t="s">
        <v>122</v>
      </c>
      <c r="D9" s="51" t="s">
        <v>58</v>
      </c>
      <c r="E9" s="51">
        <v>1</v>
      </c>
      <c r="F9" s="51">
        <v>6</v>
      </c>
      <c r="G9" s="51"/>
      <c r="H9" s="51"/>
      <c r="I9" s="51"/>
      <c r="J9" s="51" t="str">
        <f t="shared" si="0"/>
        <v>abreviaturaUnidadTiempoUso(ZonaComun)</v>
      </c>
      <c r="K9" s="51" t="s">
        <v>59</v>
      </c>
      <c r="L9" s="51" t="s">
        <v>58</v>
      </c>
      <c r="M9" s="51">
        <v>1</v>
      </c>
      <c r="N9" s="51">
        <v>6</v>
      </c>
      <c r="O9" s="51"/>
      <c r="P9" s="51"/>
      <c r="Q9" s="51"/>
      <c r="R9" s="154" t="str">
        <f t="shared" si="1"/>
        <v>Atributo que contiene la informacion del abreviaturaUnidadTiempoUso del objeto dominio   en el contexto de Agendas.</v>
      </c>
      <c r="S9" s="129"/>
    </row>
    <row r="10" spans="1:19" ht="46.5" thickTop="1" thickBot="1" x14ac:dyDescent="0.3">
      <c r="A10" s="135"/>
      <c r="B10" s="177"/>
      <c r="C10" s="166" t="s">
        <v>123</v>
      </c>
      <c r="D10" s="51" t="s">
        <v>107</v>
      </c>
      <c r="E10" s="51">
        <v>1</v>
      </c>
      <c r="F10" s="51">
        <v>10</v>
      </c>
      <c r="G10" s="51"/>
      <c r="H10" s="51"/>
      <c r="I10" s="51"/>
      <c r="J10" s="51" t="str">
        <f t="shared" si="0"/>
        <v>enBaseUnidadTiempoUso(ZonaComun)</v>
      </c>
      <c r="K10" s="51" t="s">
        <v>59</v>
      </c>
      <c r="L10" s="51" t="s">
        <v>107</v>
      </c>
      <c r="M10" s="51">
        <v>1</v>
      </c>
      <c r="N10" s="51">
        <v>10</v>
      </c>
      <c r="O10" s="51"/>
      <c r="P10" s="51"/>
      <c r="Q10" s="51"/>
      <c r="R10" s="154" t="str">
        <f t="shared" si="1"/>
        <v>Atributo que contiene la informacion del enBaseUnidadTiempoUso del objeto dominio   en el contexto de Agendas.</v>
      </c>
      <c r="S10" s="129"/>
    </row>
    <row r="11" spans="1:19" ht="46.5" thickTop="1" thickBot="1" x14ac:dyDescent="0.3">
      <c r="A11" s="135"/>
      <c r="B11" s="177"/>
      <c r="C11" s="166" t="s">
        <v>124</v>
      </c>
      <c r="D11" s="51" t="s">
        <v>56</v>
      </c>
      <c r="E11" s="51">
        <v>32</v>
      </c>
      <c r="F11" s="51">
        <v>32</v>
      </c>
      <c r="G11" s="51"/>
      <c r="H11" s="51"/>
      <c r="I11" s="51"/>
      <c r="J11" s="51" t="str">
        <f t="shared" si="0"/>
        <v>IdentificadorZonaComun(ZonaComun)</v>
      </c>
      <c r="K11" s="51" t="s">
        <v>59</v>
      </c>
      <c r="L11" s="51" t="s">
        <v>56</v>
      </c>
      <c r="M11" s="51">
        <v>32</v>
      </c>
      <c r="N11" s="51">
        <v>32</v>
      </c>
      <c r="O11" s="51"/>
      <c r="P11" s="51"/>
      <c r="Q11" s="51"/>
      <c r="R11" s="154" t="str">
        <f t="shared" si="1"/>
        <v>Atributo que contiene la informacion del IdentificadorZonaComun del objeto dominio   en el contexto de Agendas.</v>
      </c>
      <c r="S11" s="129"/>
    </row>
    <row r="12" spans="1:19" ht="31.5" thickTop="1" thickBot="1" x14ac:dyDescent="0.3">
      <c r="A12" s="135"/>
      <c r="B12" s="177"/>
      <c r="C12" s="166" t="s">
        <v>125</v>
      </c>
      <c r="D12" s="51" t="s">
        <v>58</v>
      </c>
      <c r="E12" s="51">
        <v>3</v>
      </c>
      <c r="F12" s="51">
        <v>50</v>
      </c>
      <c r="G12" s="51"/>
      <c r="H12" s="51"/>
      <c r="I12" s="51"/>
      <c r="J12" s="51" t="str">
        <f t="shared" si="0"/>
        <v>nombreZonaComun(ZonaComun)</v>
      </c>
      <c r="K12" s="51" t="s">
        <v>59</v>
      </c>
      <c r="L12" s="51" t="s">
        <v>58</v>
      </c>
      <c r="M12" s="51">
        <v>3</v>
      </c>
      <c r="N12" s="51">
        <v>50</v>
      </c>
      <c r="O12" s="51"/>
      <c r="P12" s="51"/>
      <c r="Q12" s="51"/>
      <c r="R12" s="154" t="str">
        <f t="shared" si="1"/>
        <v>Atributo que contiene la informacion del nombreZonaComun del objeto dominio   en el contexto de Agendas.</v>
      </c>
      <c r="S12" s="129"/>
    </row>
    <row r="13" spans="1:19" ht="46.5" thickTop="1" thickBot="1" x14ac:dyDescent="0.3">
      <c r="A13" s="135"/>
      <c r="B13" s="177"/>
      <c r="C13" s="166" t="s">
        <v>126</v>
      </c>
      <c r="D13" s="51" t="s">
        <v>93</v>
      </c>
      <c r="E13" s="51">
        <v>1</v>
      </c>
      <c r="F13" s="51">
        <v>4</v>
      </c>
      <c r="G13" s="51"/>
      <c r="H13" s="51"/>
      <c r="I13" s="51"/>
      <c r="J13" s="51" t="str">
        <f t="shared" si="0"/>
        <v>capacidadPersonasZonaComun(ZonaComun)</v>
      </c>
      <c r="K13" s="51" t="s">
        <v>59</v>
      </c>
      <c r="L13" s="51" t="s">
        <v>93</v>
      </c>
      <c r="M13" s="51">
        <v>1</v>
      </c>
      <c r="N13" s="51">
        <v>4</v>
      </c>
      <c r="O13" s="51"/>
      <c r="P13" s="51"/>
      <c r="Q13" s="51"/>
      <c r="R13" s="154" t="str">
        <f t="shared" si="1"/>
        <v>Atributo que contiene la informacion del capacidadPersonasZonaComun del objeto dominio   en el contexto de Agendas.</v>
      </c>
      <c r="S13" s="129"/>
    </row>
    <row r="14" spans="1:19" ht="46.5" thickTop="1" thickBot="1" x14ac:dyDescent="0.3">
      <c r="A14" s="135"/>
      <c r="B14" s="177"/>
      <c r="C14" s="166" t="s">
        <v>127</v>
      </c>
      <c r="D14" s="51" t="s">
        <v>58</v>
      </c>
      <c r="E14" s="51">
        <v>0</v>
      </c>
      <c r="F14" s="51">
        <v>255</v>
      </c>
      <c r="G14" s="51"/>
      <c r="H14" s="51"/>
      <c r="I14" s="51"/>
      <c r="J14" s="51" t="str">
        <f t="shared" si="0"/>
        <v>decripcionZonaComun(ZonaComun)</v>
      </c>
      <c r="K14" s="51" t="s">
        <v>59</v>
      </c>
      <c r="L14" s="51" t="s">
        <v>58</v>
      </c>
      <c r="M14" s="51">
        <v>0</v>
      </c>
      <c r="N14" s="51">
        <v>255</v>
      </c>
      <c r="O14" s="51"/>
      <c r="P14" s="51"/>
      <c r="Q14" s="51"/>
      <c r="R14" s="154" t="str">
        <f t="shared" si="1"/>
        <v>Atributo que contiene la informacion del decripcionZonaComun del objeto dominio   en el contexto de Agendas.</v>
      </c>
      <c r="S14" s="129"/>
    </row>
    <row r="15" spans="1:19" ht="46.5" thickTop="1" thickBot="1" x14ac:dyDescent="0.3">
      <c r="A15" s="135"/>
      <c r="B15" s="165"/>
      <c r="C15" s="166" t="s">
        <v>128</v>
      </c>
      <c r="D15" s="51" t="s">
        <v>93</v>
      </c>
      <c r="E15" s="51">
        <v>1</v>
      </c>
      <c r="F15" s="51">
        <v>5</v>
      </c>
      <c r="G15" s="51"/>
      <c r="H15" s="51">
        <v>0</v>
      </c>
      <c r="I15" s="51">
        <v>3600</v>
      </c>
      <c r="J15" s="51" t="str">
        <f t="shared" si="0"/>
        <v>tiempoUsoZonaComun(ZonaComun)</v>
      </c>
      <c r="K15" s="51" t="s">
        <v>59</v>
      </c>
      <c r="L15" s="51" t="s">
        <v>93</v>
      </c>
      <c r="M15" s="51">
        <v>1</v>
      </c>
      <c r="N15" s="51">
        <v>5</v>
      </c>
      <c r="O15" s="51"/>
      <c r="P15" s="51">
        <v>0</v>
      </c>
      <c r="Q15" s="51">
        <v>3600</v>
      </c>
      <c r="R15" s="154" t="str">
        <f t="shared" si="1"/>
        <v>Atributo que contiene la informacion del tiempoUsoZonaComun del objeto dominio   en el contexto de Agendas.</v>
      </c>
      <c r="S15" s="129"/>
    </row>
    <row r="16" spans="1:19" ht="46.5" thickTop="1" thickBot="1" x14ac:dyDescent="0.3">
      <c r="A16" s="135"/>
      <c r="B16" s="176" t="s">
        <v>64</v>
      </c>
      <c r="C16" s="50" t="s">
        <v>55</v>
      </c>
      <c r="D16" s="31" t="s">
        <v>56</v>
      </c>
      <c r="E16" s="31">
        <v>32</v>
      </c>
      <c r="F16" s="31">
        <v>32</v>
      </c>
      <c r="G16" s="31"/>
      <c r="H16" s="31"/>
      <c r="I16" s="31"/>
      <c r="J16" s="31" t="str">
        <f>_xlfn.CONCAT(C16,$B$16)</f>
        <v>identificadorAgenda</v>
      </c>
      <c r="K16" s="31" t="s">
        <v>59</v>
      </c>
      <c r="L16" s="31" t="s">
        <v>56</v>
      </c>
      <c r="M16" s="31">
        <v>32</v>
      </c>
      <c r="N16" s="31">
        <v>32</v>
      </c>
      <c r="O16" s="31"/>
      <c r="P16" s="31"/>
      <c r="Q16" s="31"/>
      <c r="R16" s="40" t="str">
        <f>_xlfn.CONCAT("Atributo que contiene la informacion del ",C16," del objeto dominio ",B16,"  en el contexto de ",$A$5,".")</f>
        <v>Atributo que contiene la informacion del identificador del objeto dominio Agenda  en el contexto de Agendas.</v>
      </c>
      <c r="S16" s="129"/>
    </row>
    <row r="17" spans="1:19" ht="31.5" thickTop="1" thickBot="1" x14ac:dyDescent="0.3">
      <c r="A17" s="135"/>
      <c r="B17" s="176"/>
      <c r="C17" s="50" t="s">
        <v>4</v>
      </c>
      <c r="D17" s="31" t="s">
        <v>58</v>
      </c>
      <c r="E17" s="31">
        <v>1</v>
      </c>
      <c r="F17" s="31">
        <v>50</v>
      </c>
      <c r="G17" s="31"/>
      <c r="H17" s="31"/>
      <c r="I17" s="31"/>
      <c r="J17" s="31" t="str">
        <f t="shared" ref="J17:J20" si="2">_xlfn.CONCAT(C17,$B$16)</f>
        <v>NombreAgenda</v>
      </c>
      <c r="K17" s="31" t="s">
        <v>59</v>
      </c>
      <c r="L17" s="31" t="s">
        <v>58</v>
      </c>
      <c r="M17" s="31">
        <v>1</v>
      </c>
      <c r="N17" s="31">
        <v>50</v>
      </c>
      <c r="O17" s="31"/>
      <c r="P17" s="31"/>
      <c r="Q17" s="31"/>
      <c r="R17" s="40" t="str">
        <f t="shared" ref="R17:R20" si="3">_xlfn.CONCAT("Atributo que contiene la informacion del ",C17," del objeto dominio ",B17,"  en el contexto de ",$A$5,".")</f>
        <v>Atributo que contiene la informacion del Nombre del objeto dominio   en el contexto de Agendas.</v>
      </c>
      <c r="S17" s="129"/>
    </row>
    <row r="18" spans="1:19" ht="31.5" thickTop="1" thickBot="1" x14ac:dyDescent="0.3">
      <c r="A18" s="135"/>
      <c r="B18" s="176"/>
      <c r="C18" s="31" t="s">
        <v>90</v>
      </c>
      <c r="D18" s="31" t="s">
        <v>58</v>
      </c>
      <c r="E18" s="31"/>
      <c r="F18" s="31"/>
      <c r="G18" s="31"/>
      <c r="H18" s="31"/>
      <c r="I18" s="31"/>
      <c r="J18" s="31" t="str">
        <f t="shared" si="2"/>
        <v>fechaHoraInicioAgenda</v>
      </c>
      <c r="K18" s="31" t="s">
        <v>59</v>
      </c>
      <c r="L18" s="31" t="s">
        <v>58</v>
      </c>
      <c r="M18" s="31"/>
      <c r="N18" s="31"/>
      <c r="O18" s="31"/>
      <c r="P18" s="31"/>
      <c r="Q18" s="31"/>
      <c r="R18" s="40" t="str">
        <f t="shared" si="3"/>
        <v>Atributo que contiene la informacion del fechaHoraInicio del objeto dominio   en el contexto de Agendas.</v>
      </c>
      <c r="S18" s="129"/>
    </row>
    <row r="19" spans="1:19" ht="31.5" thickTop="1" thickBot="1" x14ac:dyDescent="0.3">
      <c r="A19" s="135"/>
      <c r="B19" s="176"/>
      <c r="C19" s="31" t="s">
        <v>94</v>
      </c>
      <c r="D19" s="31" t="s">
        <v>58</v>
      </c>
      <c r="E19" s="31"/>
      <c r="F19" s="31"/>
      <c r="G19" s="31"/>
      <c r="H19" s="31"/>
      <c r="I19" s="31"/>
      <c r="J19" s="31" t="str">
        <f t="shared" si="2"/>
        <v>fechaHoraFinAgenda</v>
      </c>
      <c r="K19" s="31" t="s">
        <v>59</v>
      </c>
      <c r="L19" s="31" t="s">
        <v>58</v>
      </c>
      <c r="M19" s="31"/>
      <c r="N19" s="31"/>
      <c r="O19" s="31"/>
      <c r="P19" s="31"/>
      <c r="Q19" s="31"/>
      <c r="R19" s="40" t="str">
        <f t="shared" si="3"/>
        <v>Atributo que contiene la informacion del fechaHoraFin del objeto dominio   en el contexto de Agendas.</v>
      </c>
      <c r="S19" s="129"/>
    </row>
    <row r="20" spans="1:19" ht="16.5" thickTop="1" thickBot="1" x14ac:dyDescent="0.3">
      <c r="A20" s="135"/>
      <c r="B20" s="176"/>
      <c r="C20" s="31" t="s">
        <v>109</v>
      </c>
      <c r="D20" s="167" t="s">
        <v>41</v>
      </c>
      <c r="E20" s="31"/>
      <c r="F20" s="31"/>
      <c r="G20" s="31"/>
      <c r="H20" s="31"/>
      <c r="I20" s="31"/>
      <c r="J20" s="31"/>
      <c r="K20" s="31"/>
      <c r="L20" s="31"/>
      <c r="M20" s="31"/>
      <c r="N20" s="31"/>
      <c r="O20" s="31"/>
      <c r="P20" s="31"/>
      <c r="Q20" s="31"/>
      <c r="R20" s="40"/>
      <c r="S20" s="129"/>
    </row>
    <row r="21" spans="1:19" ht="31.5" thickTop="1" thickBot="1" x14ac:dyDescent="0.3">
      <c r="A21" s="135"/>
      <c r="B21" s="134" t="s">
        <v>65</v>
      </c>
      <c r="C21" s="32" t="s">
        <v>55</v>
      </c>
      <c r="D21" s="32" t="s">
        <v>56</v>
      </c>
      <c r="E21" s="32">
        <v>32</v>
      </c>
      <c r="F21" s="32">
        <v>32</v>
      </c>
      <c r="G21" s="32"/>
      <c r="H21" s="32"/>
      <c r="I21" s="32"/>
      <c r="J21" s="32" t="str">
        <f>_xlfn.CONCAT(C21,$B$21)</f>
        <v>identificadorTurno</v>
      </c>
      <c r="K21" s="32" t="s">
        <v>59</v>
      </c>
      <c r="L21" s="32" t="s">
        <v>56</v>
      </c>
      <c r="M21" s="32">
        <v>32</v>
      </c>
      <c r="N21" s="32">
        <v>32</v>
      </c>
      <c r="O21" s="32"/>
      <c r="P21" s="32"/>
      <c r="Q21" s="32"/>
      <c r="R21" s="41" t="str">
        <f>_xlfn.CONCAT("Atributo que contiene la informacion del ",C21," del objeto dominio ",B21,"  en el contexto de ",$A$5,".")</f>
        <v>Atributo que contiene la informacion del identificador del objeto dominio Turno  en el contexto de Agendas.</v>
      </c>
      <c r="S21" s="129"/>
    </row>
    <row r="22" spans="1:19" ht="31.5" thickTop="1" thickBot="1" x14ac:dyDescent="0.3">
      <c r="A22" s="135"/>
      <c r="B22" s="134"/>
      <c r="C22" s="32" t="s">
        <v>129</v>
      </c>
      <c r="D22" s="32" t="s">
        <v>58</v>
      </c>
      <c r="E22" s="32">
        <v>1</v>
      </c>
      <c r="F22" s="32">
        <v>50</v>
      </c>
      <c r="G22" s="32"/>
      <c r="H22" s="32"/>
      <c r="I22" s="32"/>
      <c r="J22" s="32" t="str">
        <f t="shared" ref="J22:J25" si="4">_xlfn.CONCAT(C22,$B$21)</f>
        <v>numeroTurnoTurno</v>
      </c>
      <c r="K22" s="32" t="s">
        <v>59</v>
      </c>
      <c r="L22" s="32" t="s">
        <v>58</v>
      </c>
      <c r="M22" s="32">
        <v>1</v>
      </c>
      <c r="N22" s="32">
        <v>50</v>
      </c>
      <c r="O22" s="32"/>
      <c r="P22" s="32"/>
      <c r="Q22" s="32"/>
      <c r="R22" s="41" t="str">
        <f t="shared" ref="R22:R26" si="5">_xlfn.CONCAT("Atributo que contiene la informacion del ",C22," del objeto dominio ",B22,"  en el contexto de ",$A$5,".")</f>
        <v>Atributo que contiene la informacion del numeroTurno del objeto dominio   en el contexto de Agendas.</v>
      </c>
      <c r="S22" s="129"/>
    </row>
    <row r="23" spans="1:19" ht="31.5" thickTop="1" thickBot="1" x14ac:dyDescent="0.3">
      <c r="A23" s="135"/>
      <c r="B23" s="134"/>
      <c r="C23" s="32" t="s">
        <v>130</v>
      </c>
      <c r="D23" s="32" t="s">
        <v>131</v>
      </c>
      <c r="E23" s="32"/>
      <c r="F23" s="32"/>
      <c r="G23" s="32"/>
      <c r="H23" s="32"/>
      <c r="I23" s="32"/>
      <c r="J23" s="32" t="str">
        <f t="shared" si="4"/>
        <v>horaInicioTurno</v>
      </c>
      <c r="K23" s="32" t="s">
        <v>59</v>
      </c>
      <c r="L23" s="32"/>
      <c r="M23" s="32"/>
      <c r="N23" s="32"/>
      <c r="O23" s="32"/>
      <c r="P23" s="32"/>
      <c r="Q23" s="32"/>
      <c r="R23" s="41" t="str">
        <f t="shared" si="5"/>
        <v>Atributo que contiene la informacion del horaInicio del objeto dominio   en el contexto de Agendas.</v>
      </c>
      <c r="S23" s="129"/>
    </row>
    <row r="24" spans="1:19" ht="31.5" thickTop="1" thickBot="1" x14ac:dyDescent="0.3">
      <c r="A24" s="135"/>
      <c r="B24" s="134"/>
      <c r="C24" s="32" t="s">
        <v>132</v>
      </c>
      <c r="D24" s="32" t="s">
        <v>131</v>
      </c>
      <c r="E24" s="32"/>
      <c r="F24" s="32"/>
      <c r="G24" s="32"/>
      <c r="H24" s="32"/>
      <c r="I24" s="32"/>
      <c r="J24" s="32" t="str">
        <f t="shared" si="4"/>
        <v>horaFinTurno</v>
      </c>
      <c r="K24" s="32" t="s">
        <v>59</v>
      </c>
      <c r="L24" s="32"/>
      <c r="M24" s="32"/>
      <c r="N24" s="32"/>
      <c r="O24" s="32"/>
      <c r="P24" s="32"/>
      <c r="Q24" s="32"/>
      <c r="R24" s="41" t="str">
        <f t="shared" si="5"/>
        <v>Atributo que contiene la informacion del horaFin del objeto dominio   en el contexto de Agendas.</v>
      </c>
      <c r="S24" s="129"/>
    </row>
    <row r="25" spans="1:19" ht="31.5" thickTop="1" thickBot="1" x14ac:dyDescent="0.3">
      <c r="A25" s="135"/>
      <c r="B25" s="134"/>
      <c r="C25" s="32" t="s">
        <v>133</v>
      </c>
      <c r="D25" s="32" t="s">
        <v>134</v>
      </c>
      <c r="E25" s="32"/>
      <c r="F25" s="32"/>
      <c r="G25" s="32"/>
      <c r="H25" s="32"/>
      <c r="I25" s="32"/>
      <c r="J25" s="32" t="str">
        <f t="shared" si="4"/>
        <v>estadoTurno</v>
      </c>
      <c r="K25" s="32" t="s">
        <v>59</v>
      </c>
      <c r="L25" s="32"/>
      <c r="M25" s="32"/>
      <c r="N25" s="32"/>
      <c r="O25" s="32"/>
      <c r="P25" s="32"/>
      <c r="Q25" s="32"/>
      <c r="R25" s="41" t="str">
        <f t="shared" si="5"/>
        <v>Atributo que contiene la informacion del estado del objeto dominio   en el contexto de Agendas.</v>
      </c>
      <c r="S25" s="129"/>
    </row>
    <row r="26" spans="1:19" ht="16.5" thickTop="1" thickBot="1" x14ac:dyDescent="0.3">
      <c r="A26" s="136"/>
      <c r="B26" s="134"/>
      <c r="C26" s="32" t="s">
        <v>110</v>
      </c>
      <c r="D26" s="168" t="s">
        <v>64</v>
      </c>
      <c r="E26" s="32"/>
      <c r="F26" s="32"/>
      <c r="G26" s="32"/>
      <c r="H26" s="32"/>
      <c r="I26" s="32"/>
      <c r="J26" s="32"/>
      <c r="K26" s="32"/>
      <c r="L26" s="32"/>
      <c r="M26" s="32"/>
      <c r="N26" s="32"/>
      <c r="O26" s="32"/>
      <c r="P26" s="32"/>
      <c r="Q26" s="32"/>
      <c r="R26" s="41"/>
      <c r="S26" s="133"/>
    </row>
    <row r="27" spans="1:19" ht="15.75" thickTop="1" x14ac:dyDescent="0.25"/>
  </sheetData>
  <mergeCells count="11">
    <mergeCell ref="S5:S26"/>
    <mergeCell ref="B21:B26"/>
    <mergeCell ref="B1:S1"/>
    <mergeCell ref="A2:S2"/>
    <mergeCell ref="A3:I3"/>
    <mergeCell ref="J3:Q3"/>
    <mergeCell ref="R3:R4"/>
    <mergeCell ref="S3:S4"/>
    <mergeCell ref="A5:A26"/>
    <mergeCell ref="B16:B20"/>
    <mergeCell ref="B5:B15"/>
  </mergeCells>
  <hyperlinks>
    <hyperlink ref="D20" location="'Reserva-0001'!B5" display="ZonaComun" xr:uid="{9609D778-59AA-40D8-8622-3E7E74B0DA78}"/>
    <hyperlink ref="D26" location="'Reserva-0001'!B16" display="Agenda" xr:uid="{965909F4-EE4F-44DD-B44D-2F2AEA99181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3"/>
  <sheetViews>
    <sheetView workbookViewId="0">
      <selection activeCell="N27" sqref="N27"/>
    </sheetView>
  </sheetViews>
  <sheetFormatPr baseColWidth="10" defaultColWidth="11.42578125" defaultRowHeight="15" x14ac:dyDescent="0.25"/>
  <cols>
    <col min="1" max="1" width="14.7109375" style="13" customWidth="1"/>
    <col min="2" max="2" width="21" style="13" customWidth="1"/>
    <col min="3" max="3" width="35.5703125" style="13" bestFit="1" customWidth="1"/>
    <col min="4" max="4" width="19.42578125" style="13"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44.140625"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18" t="str">
        <f>Reservas!D8</f>
        <v>Reserva-0001</v>
      </c>
      <c r="C1" s="118"/>
      <c r="D1" s="118"/>
      <c r="E1" s="118"/>
      <c r="F1" s="118"/>
      <c r="G1" s="118"/>
      <c r="H1" s="118"/>
      <c r="I1" s="118"/>
      <c r="J1" s="118"/>
      <c r="K1" s="118"/>
      <c r="L1" s="118"/>
      <c r="M1" s="118"/>
      <c r="N1" s="118"/>
      <c r="O1" s="118"/>
      <c r="P1" s="118"/>
      <c r="Q1" s="118"/>
      <c r="R1" s="118"/>
      <c r="S1" s="119"/>
    </row>
    <row r="2" spans="1:19" x14ac:dyDescent="0.25">
      <c r="A2" s="100"/>
      <c r="B2" s="101"/>
      <c r="C2" s="101"/>
      <c r="D2" s="101"/>
      <c r="E2" s="101"/>
      <c r="F2" s="101"/>
      <c r="G2" s="101"/>
      <c r="H2" s="101"/>
      <c r="I2" s="101"/>
      <c r="J2" s="101"/>
      <c r="K2" s="101"/>
      <c r="L2" s="101"/>
      <c r="M2" s="101"/>
      <c r="N2" s="101"/>
      <c r="O2" s="101"/>
      <c r="P2" s="101"/>
      <c r="Q2" s="101"/>
      <c r="R2" s="101"/>
      <c r="S2" s="102"/>
    </row>
    <row r="3" spans="1:19" x14ac:dyDescent="0.25">
      <c r="A3" s="120" t="s">
        <v>42</v>
      </c>
      <c r="B3" s="121"/>
      <c r="C3" s="121"/>
      <c r="D3" s="121"/>
      <c r="E3" s="121"/>
      <c r="F3" s="121"/>
      <c r="G3" s="121"/>
      <c r="H3" s="121"/>
      <c r="I3" s="121"/>
      <c r="J3" s="121" t="s">
        <v>43</v>
      </c>
      <c r="K3" s="121"/>
      <c r="L3" s="121"/>
      <c r="M3" s="121"/>
      <c r="N3" s="121"/>
      <c r="O3" s="121"/>
      <c r="P3" s="121"/>
      <c r="Q3" s="121"/>
      <c r="R3" s="122" t="s">
        <v>29</v>
      </c>
      <c r="S3" s="124" t="s">
        <v>44</v>
      </c>
    </row>
    <row r="4" spans="1:19" ht="15.75" thickBot="1" x14ac:dyDescent="0.3">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23"/>
      <c r="S4" s="125"/>
    </row>
    <row r="5" spans="1:19" ht="46.5" thickTop="1" thickBot="1" x14ac:dyDescent="0.3">
      <c r="A5" s="169" t="s">
        <v>80</v>
      </c>
      <c r="B5" s="138" t="s">
        <v>82</v>
      </c>
      <c r="C5" s="31" t="s">
        <v>111</v>
      </c>
      <c r="D5" s="31" t="s">
        <v>58</v>
      </c>
      <c r="E5" s="31">
        <v>1</v>
      </c>
      <c r="F5" s="31">
        <v>20</v>
      </c>
      <c r="G5" s="31"/>
      <c r="H5" s="31"/>
      <c r="I5" s="31"/>
      <c r="J5" s="31" t="str">
        <f t="shared" ref="J5" si="0">_xlfn.CONCAT(C5,$B$5)</f>
        <v>TipoInmueble(Nombre)Inmueble</v>
      </c>
      <c r="K5" s="31" t="s">
        <v>59</v>
      </c>
      <c r="L5" s="31" t="s">
        <v>58</v>
      </c>
      <c r="M5" s="31">
        <v>1</v>
      </c>
      <c r="N5" s="31">
        <v>20</v>
      </c>
      <c r="O5" s="31"/>
      <c r="P5" s="31"/>
      <c r="Q5" s="31"/>
      <c r="R5" s="40" t="str">
        <f>_xlfn.CONCAT("Atributo que contiene la informacion del ",C5," del objeto dominio ",B5,"  en el contexto de ",$A$5,".")</f>
        <v>Atributo que contiene la informacion del TipoInmueble(Nombre) del objeto dominio Inmueble  en el contexto de Residentes.</v>
      </c>
      <c r="S5" s="128" t="str">
        <f>B9</f>
        <v>Residente</v>
      </c>
    </row>
    <row r="6" spans="1:19" ht="46.5" customHeight="1" thickTop="1" thickBot="1" x14ac:dyDescent="0.3">
      <c r="A6" s="170"/>
      <c r="B6" s="139"/>
      <c r="C6" s="31" t="s">
        <v>112</v>
      </c>
      <c r="D6" s="31" t="s">
        <v>56</v>
      </c>
      <c r="E6" s="31">
        <v>32</v>
      </c>
      <c r="F6" s="31">
        <v>32</v>
      </c>
      <c r="G6" s="31"/>
      <c r="H6" s="31"/>
      <c r="I6" s="31"/>
      <c r="J6" s="31" t="str">
        <f>_xlfn.CONCAT(C6,$B$5)</f>
        <v>TipoZonaInmueble(Identificador)Inmueble</v>
      </c>
      <c r="K6" s="31" t="s">
        <v>59</v>
      </c>
      <c r="L6" s="31" t="s">
        <v>56</v>
      </c>
      <c r="M6" s="31">
        <v>32</v>
      </c>
      <c r="N6" s="31">
        <v>32</v>
      </c>
      <c r="O6" s="31"/>
      <c r="P6" s="31"/>
      <c r="Q6" s="31"/>
      <c r="R6" s="40" t="str">
        <f t="shared" ref="R6:R8" si="1">_xlfn.CONCAT("Atributo que contiene la informacion del ",C6," del objeto dominio ",B6,"  en el contexto de ",$A$5,".")</f>
        <v>Atributo que contiene la informacion del TipoZonaInmueble(Identificador) del objeto dominio   en el contexto de Residentes.</v>
      </c>
      <c r="S6" s="129"/>
    </row>
    <row r="7" spans="1:19" ht="46.5" thickTop="1" thickBot="1" x14ac:dyDescent="0.3">
      <c r="A7" s="170"/>
      <c r="B7" s="139"/>
      <c r="C7" s="31" t="s">
        <v>113</v>
      </c>
      <c r="D7" s="31" t="s">
        <v>58</v>
      </c>
      <c r="E7" s="31">
        <v>1</v>
      </c>
      <c r="F7" s="31">
        <v>20</v>
      </c>
      <c r="G7" s="31"/>
      <c r="H7" s="31"/>
      <c r="I7" s="31"/>
      <c r="J7" s="31" t="str">
        <f t="shared" ref="J7" si="2">_xlfn.CONCAT(C7,$B$5)</f>
        <v>TipoZonaInmueble(Nombre)Inmueble</v>
      </c>
      <c r="K7" s="31" t="s">
        <v>59</v>
      </c>
      <c r="L7" s="31" t="s">
        <v>58</v>
      </c>
      <c r="M7" s="31">
        <v>1</v>
      </c>
      <c r="N7" s="31">
        <v>20</v>
      </c>
      <c r="O7" s="31"/>
      <c r="P7" s="31"/>
      <c r="Q7" s="31"/>
      <c r="R7" s="40" t="str">
        <f t="shared" si="1"/>
        <v>Atributo que contiene la informacion del TipoZonaInmueble(Nombre) del objeto dominio   en el contexto de Residentes.</v>
      </c>
      <c r="S7" s="129"/>
    </row>
    <row r="8" spans="1:19" ht="46.5" thickTop="1" thickBot="1" x14ac:dyDescent="0.3">
      <c r="A8" s="170"/>
      <c r="B8" s="140"/>
      <c r="C8" s="31" t="s">
        <v>114</v>
      </c>
      <c r="D8" s="31" t="s">
        <v>116</v>
      </c>
      <c r="E8" s="31">
        <v>1</v>
      </c>
      <c r="F8" s="31">
        <v>20</v>
      </c>
      <c r="G8" s="31"/>
      <c r="H8" s="31">
        <v>1</v>
      </c>
      <c r="I8" s="31">
        <v>200</v>
      </c>
      <c r="J8" s="31" t="str">
        <f t="shared" ref="J8" si="3">_xlfn.CONCAT(C8,$B$5)</f>
        <v>ZonaInmueble(NumeroZonaInmueble)Inmueble</v>
      </c>
      <c r="K8" s="31" t="s">
        <v>59</v>
      </c>
      <c r="L8" s="31" t="s">
        <v>116</v>
      </c>
      <c r="M8" s="31">
        <v>1</v>
      </c>
      <c r="N8" s="31">
        <v>20</v>
      </c>
      <c r="O8" s="31"/>
      <c r="P8" s="31">
        <v>1</v>
      </c>
      <c r="Q8" s="31">
        <v>200</v>
      </c>
      <c r="R8" s="40" t="str">
        <f t="shared" si="1"/>
        <v>Atributo que contiene la informacion del ZonaInmueble(NumeroZonaInmueble) del objeto dominio   en el contexto de Residentes.</v>
      </c>
      <c r="S8" s="129"/>
    </row>
    <row r="9" spans="1:19" ht="31.5" thickTop="1" thickBot="1" x14ac:dyDescent="0.3">
      <c r="A9" s="170"/>
      <c r="B9" s="173" t="s">
        <v>24</v>
      </c>
      <c r="C9" s="32" t="s">
        <v>55</v>
      </c>
      <c r="D9" s="32" t="s">
        <v>56</v>
      </c>
      <c r="E9" s="32">
        <v>32</v>
      </c>
      <c r="F9" s="32">
        <v>32</v>
      </c>
      <c r="G9" s="32"/>
      <c r="H9" s="32"/>
      <c r="I9" s="32"/>
      <c r="J9" s="32" t="str">
        <f>_xlfn.CONCAT(C9,$B$9)</f>
        <v>identificadorResidente</v>
      </c>
      <c r="K9" s="32" t="s">
        <v>59</v>
      </c>
      <c r="L9" s="32" t="s">
        <v>56</v>
      </c>
      <c r="M9" s="32">
        <v>32</v>
      </c>
      <c r="N9" s="32">
        <v>32</v>
      </c>
      <c r="O9" s="32"/>
      <c r="P9" s="32"/>
      <c r="Q9" s="32"/>
      <c r="R9" s="41" t="str">
        <f>_xlfn.CONCAT("Atributo que contiene la informacion del ",C9," del objeto dominio ",B9,"  en el contexto de ",$A$5,".")</f>
        <v>Atributo que contiene la informacion del identificador del objeto dominio Residente  en el contexto de Residentes.</v>
      </c>
      <c r="S9" s="129"/>
    </row>
    <row r="10" spans="1:19" ht="31.5" thickTop="1" thickBot="1" x14ac:dyDescent="0.3">
      <c r="A10" s="170"/>
      <c r="B10" s="174"/>
      <c r="C10" s="32" t="s">
        <v>57</v>
      </c>
      <c r="D10" s="32" t="s">
        <v>58</v>
      </c>
      <c r="E10" s="32">
        <v>1</v>
      </c>
      <c r="F10" s="32">
        <v>50</v>
      </c>
      <c r="G10" s="32"/>
      <c r="H10" s="32"/>
      <c r="I10" s="32"/>
      <c r="J10" s="32" t="str">
        <f t="shared" ref="J10:J11" si="4">_xlfn.CONCAT(C10,$B$9)</f>
        <v>nombreResidente</v>
      </c>
      <c r="K10" s="32" t="s">
        <v>59</v>
      </c>
      <c r="L10" s="32" t="s">
        <v>58</v>
      </c>
      <c r="M10" s="32">
        <v>1</v>
      </c>
      <c r="N10" s="32">
        <v>50</v>
      </c>
      <c r="O10" s="32"/>
      <c r="P10" s="32"/>
      <c r="Q10" s="32"/>
      <c r="R10" s="41" t="str">
        <f t="shared" ref="R10:R11" si="5">_xlfn.CONCAT("Atributo que contiene la informacion del ",C10," del objeto dominio ",B10,"  en el contexto de ",$A$5,".")</f>
        <v>Atributo que contiene la informacion del nombre del objeto dominio   en el contexto de Residentes.</v>
      </c>
      <c r="S10" s="129"/>
    </row>
    <row r="11" spans="1:19" ht="31.5" thickTop="1" thickBot="1" x14ac:dyDescent="0.3">
      <c r="A11" s="170"/>
      <c r="B11" s="174"/>
      <c r="C11" s="32" t="s">
        <v>117</v>
      </c>
      <c r="D11" s="32" t="s">
        <v>116</v>
      </c>
      <c r="E11" s="32"/>
      <c r="F11" s="32"/>
      <c r="G11" s="32"/>
      <c r="H11" s="32">
        <v>1</v>
      </c>
      <c r="I11" s="32">
        <v>100000000000</v>
      </c>
      <c r="J11" s="32" t="str">
        <f t="shared" si="4"/>
        <v>numeroDocumentoResidente</v>
      </c>
      <c r="K11" s="32" t="s">
        <v>59</v>
      </c>
      <c r="L11" s="32" t="s">
        <v>116</v>
      </c>
      <c r="M11" s="32"/>
      <c r="N11" s="32"/>
      <c r="O11" s="32"/>
      <c r="P11" s="32">
        <v>1</v>
      </c>
      <c r="Q11" s="32">
        <v>100000000000</v>
      </c>
      <c r="R11" s="41" t="str">
        <f t="shared" si="5"/>
        <v>Atributo que contiene la informacion del numeroDocumento del objeto dominio   en el contexto de Residentes.</v>
      </c>
      <c r="S11" s="129"/>
    </row>
    <row r="12" spans="1:19" ht="16.5" thickTop="1" thickBot="1" x14ac:dyDescent="0.3">
      <c r="A12" s="171"/>
      <c r="B12" s="175"/>
      <c r="C12" s="32" t="s">
        <v>115</v>
      </c>
      <c r="D12" s="32" t="s">
        <v>82</v>
      </c>
      <c r="E12" s="32"/>
      <c r="F12" s="32"/>
      <c r="G12" s="32"/>
      <c r="H12" s="32"/>
      <c r="I12" s="32"/>
      <c r="J12" s="32"/>
      <c r="K12" s="32"/>
      <c r="L12" s="32"/>
      <c r="M12" s="32"/>
      <c r="N12" s="32"/>
      <c r="O12" s="32"/>
      <c r="P12" s="32"/>
      <c r="Q12" s="32"/>
      <c r="R12" s="41"/>
      <c r="S12" s="172"/>
    </row>
    <row r="13" spans="1:19" ht="15.75" thickTop="1" x14ac:dyDescent="0.25"/>
  </sheetData>
  <mergeCells count="10">
    <mergeCell ref="A5:A12"/>
    <mergeCell ref="S5:S12"/>
    <mergeCell ref="B9:B12"/>
    <mergeCell ref="B1:S1"/>
    <mergeCell ref="A2:S2"/>
    <mergeCell ref="A3:I3"/>
    <mergeCell ref="J3:Q3"/>
    <mergeCell ref="R3:R4"/>
    <mergeCell ref="S3:S4"/>
    <mergeCell ref="B5:B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ContextMapping</vt:lpstr>
      <vt:lpstr>Contextos</vt:lpstr>
      <vt:lpstr>Conjuntos Residenciales</vt:lpstr>
      <vt:lpstr>Residentes</vt:lpstr>
      <vt:lpstr>Residente ConjutosResidenciales</vt:lpstr>
      <vt:lpstr>Agendas</vt:lpstr>
      <vt:lpstr>Agenda ConjuntosResidenciales-0</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Andres Felipe Velez Alcaraz</cp:lastModifiedBy>
  <dcterms:created xsi:type="dcterms:W3CDTF">2024-08-25T01:55:20Z</dcterms:created>
  <dcterms:modified xsi:type="dcterms:W3CDTF">2024-11-03T01:42:48Z</dcterms:modified>
</cp:coreProperties>
</file>