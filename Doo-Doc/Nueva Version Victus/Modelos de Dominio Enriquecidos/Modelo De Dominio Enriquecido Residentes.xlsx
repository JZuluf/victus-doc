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z\Documents\Universidad IngeSistemas\Diseño Orientado a Objetos(DOO)\VictusProyect\victus-doc\Doo-Doc\Nueva Version Victus\Modelos de Dominio Enriquecidos\"/>
    </mc:Choice>
  </mc:AlternateContent>
  <xr:revisionPtr revIDLastSave="0" documentId="13_ncr:1_{641175AA-DAE8-4FA5-93AB-05A9759D47F7}" xr6:coauthVersionLast="47" xr6:coauthVersionMax="47" xr10:uidLastSave="{00000000-0000-0000-0000-000000000000}"/>
  <bookViews>
    <workbookView xWindow="-108" yWindow="-108" windowWidth="23256" windowHeight="12456" firstSheet="2" activeTab="3" xr2:uid="{007C2ECE-7E90-4717-B1E7-3A143C146FF0}"/>
  </bookViews>
  <sheets>
    <sheet name="Valores" sheetId="1" r:id="rId1"/>
    <sheet name="Modelo Dominio anémico contexto" sheetId="6" r:id="rId2"/>
    <sheet name="Listado Objetos de Dominio" sheetId="2" r:id="rId3"/>
    <sheet name="Residente" sheetId="3" r:id="rId4"/>
    <sheet name="Inmuebl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5" l="1"/>
  <c r="C26" i="5"/>
  <c r="C25" i="5"/>
  <c r="C24" i="5"/>
  <c r="C23" i="5"/>
  <c r="C22" i="5"/>
  <c r="C21" i="5"/>
  <c r="C20" i="5"/>
  <c r="C19" i="5"/>
  <c r="C18" i="5"/>
  <c r="U4" i="3" l="1"/>
  <c r="T4" i="3"/>
  <c r="S4" i="3"/>
  <c r="U4" i="5"/>
  <c r="T4" i="5"/>
  <c r="S4" i="5"/>
  <c r="B2" i="5" l="1"/>
  <c r="B3" i="5"/>
  <c r="H31" i="5" l="1"/>
  <c r="I36" i="5"/>
  <c r="I35" i="5"/>
  <c r="H35" i="5"/>
  <c r="H36" i="5"/>
  <c r="J37" i="5"/>
  <c r="J36" i="5"/>
  <c r="J35" i="5"/>
  <c r="J31" i="5"/>
  <c r="I31" i="5"/>
  <c r="B3" i="3"/>
  <c r="C4" i="2"/>
  <c r="B2" i="3" l="1"/>
  <c r="D3" i="2"/>
  <c r="J33" i="3" l="1"/>
  <c r="J32" i="3"/>
  <c r="J31" i="3"/>
  <c r="J28" i="3"/>
  <c r="J30" i="3"/>
  <c r="J25" i="3"/>
  <c r="H28" i="3"/>
  <c r="H30" i="3"/>
  <c r="H25" i="3"/>
  <c r="I28" i="3"/>
  <c r="I30" i="3"/>
  <c r="I2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207</author>
  </authors>
  <commentList>
    <comment ref="A4" authorId="0" shapeId="0" xr:uid="{CC620EDD-687D-4AD5-9912-632A8431CA71}">
      <text>
        <r>
          <rPr>
            <b/>
            <sz val="9"/>
            <color indexed="81"/>
            <rFont val="Tahoma"/>
            <family val="2"/>
          </rPr>
          <t>Usuario 207:</t>
        </r>
        <r>
          <rPr>
            <sz val="9"/>
            <color indexed="81"/>
            <rFont val="Tahoma"/>
            <family val="2"/>
          </rPr>
          <t xml:space="preserve">
Nombre del atributo (recomendación en lowerCamelCase)</t>
        </r>
      </text>
    </comment>
    <comment ref="B4" authorId="0" shapeId="0" xr:uid="{4D6C0B83-9E8A-4945-98FB-0FBF22B20741}">
      <text>
        <r>
          <rPr>
            <b/>
            <sz val="9"/>
            <color indexed="81"/>
            <rFont val="Tahoma"/>
            <family val="2"/>
          </rPr>
          <t>Usuario 207:</t>
        </r>
        <r>
          <rPr>
            <sz val="9"/>
            <color indexed="81"/>
            <rFont val="Tahoma"/>
            <family val="2"/>
          </rPr>
          <t xml:space="preserve">
Carácter: Sólo un carácter
Texto: Combinación de letras y espacios
Alfanumérico: Combinación de cualquier tipo de carácter
Lógico: Verdadero/Falso
Fecha: Sólo para día, mes y año
Fecha-Tiempo: Para día, mes, año, horas, minutos y segundos
Numérico entero: Números enteros
Numérico decimal: Números de coma flotante</t>
        </r>
      </text>
    </comment>
    <comment ref="C4" authorId="0" shapeId="0" xr:uid="{B9CA6185-5720-48EE-9455-BDBE569D78E9}">
      <text>
        <r>
          <rPr>
            <b/>
            <sz val="9"/>
            <color indexed="81"/>
            <rFont val="Tahoma"/>
            <family val="2"/>
          </rPr>
          <t>Usuario 207:</t>
        </r>
        <r>
          <rPr>
            <sz val="9"/>
            <color indexed="81"/>
            <rFont val="Tahoma"/>
            <family val="2"/>
          </rPr>
          <t xml:space="preserve">
Sólo aplica para datos que son Carácter, Texto y Alfanumérico. Es un dato opcional</t>
        </r>
      </text>
    </comment>
    <comment ref="D4" authorId="0" shapeId="0" xr:uid="{FA26FC13-AF52-4252-876B-C00B9203E35C}">
      <text>
        <r>
          <rPr>
            <b/>
            <sz val="9"/>
            <color indexed="81"/>
            <rFont val="Tahoma"/>
            <family val="2"/>
          </rPr>
          <t>Usuario 207:</t>
        </r>
        <r>
          <rPr>
            <sz val="9"/>
            <color indexed="81"/>
            <rFont val="Tahoma"/>
            <family val="2"/>
          </rPr>
          <t xml:space="preserve">
Usuario 207:
Sólo aplica para datos que son Carácter, Texto y Alfanumérico. Es un dato opcional</t>
        </r>
      </text>
    </comment>
    <comment ref="E4" authorId="0" shapeId="0" xr:uid="{8AF2F496-EBFB-477A-B451-9A83DB3C5620}">
      <text>
        <r>
          <rPr>
            <b/>
            <sz val="9"/>
            <color indexed="81"/>
            <rFont val="Tahoma"/>
            <family val="2"/>
          </rPr>
          <t>Usuario 207:</t>
        </r>
        <r>
          <rPr>
            <sz val="9"/>
            <color indexed="81"/>
            <rFont val="Tahoma"/>
            <family val="2"/>
          </rPr>
          <t xml:space="preserve">
Sólo aplica para datos decimales.</t>
        </r>
      </text>
    </comment>
    <comment ref="F4" authorId="0" shapeId="0" xr:uid="{79CF5A3F-A19E-4390-93A4-03221C7E9C47}">
      <text>
        <r>
          <rPr>
            <b/>
            <sz val="9"/>
            <color indexed="81"/>
            <rFont val="Tahoma"/>
            <family val="2"/>
          </rPr>
          <t>Usuario 207:</t>
        </r>
        <r>
          <rPr>
            <sz val="9"/>
            <color indexed="81"/>
            <rFont val="Tahoma"/>
            <family val="2"/>
          </rPr>
          <t xml:space="preserve">
Hacia arriba
Hacia abajo
Truncar con cuantos decimales</t>
        </r>
      </text>
    </comment>
    <comment ref="G4" authorId="0" shapeId="0" xr:uid="{DC27B488-FA84-4246-9171-7B2D08A0F090}">
      <text>
        <r>
          <rPr>
            <b/>
            <sz val="9"/>
            <color indexed="81"/>
            <rFont val="Tahoma"/>
            <family val="2"/>
          </rPr>
          <t>Usuario 207:</t>
        </r>
        <r>
          <rPr>
            <sz val="9"/>
            <color indexed="81"/>
            <rFont val="Tahoma"/>
            <family val="2"/>
          </rPr>
          <t xml:space="preserve">
Rango inicial válido para los datos</t>
        </r>
      </text>
    </comment>
    <comment ref="H4" authorId="0" shapeId="0" xr:uid="{A39E7090-0EAC-4C07-837E-516CAC5F0115}">
      <text>
        <r>
          <rPr>
            <b/>
            <sz val="9"/>
            <color indexed="81"/>
            <rFont val="Tahoma"/>
            <family val="2"/>
          </rPr>
          <t>Usuario 207:</t>
        </r>
        <r>
          <rPr>
            <sz val="9"/>
            <color indexed="81"/>
            <rFont val="Tahoma"/>
            <family val="2"/>
          </rPr>
          <t xml:space="preserve">
Usuario 207:
Hace referencia al rango final válido para un dato</t>
        </r>
      </text>
    </comment>
    <comment ref="I4" authorId="0" shapeId="0" xr:uid="{8C83E652-5DE9-4417-9952-C7031B9E08CC}">
      <text>
        <r>
          <rPr>
            <b/>
            <sz val="9"/>
            <color indexed="81"/>
            <rFont val="Tahoma"/>
            <family val="2"/>
          </rPr>
          <t>Usuario 207:</t>
        </r>
        <r>
          <rPr>
            <sz val="9"/>
            <color indexed="81"/>
            <rFont val="Tahoma"/>
            <family val="2"/>
          </rPr>
          <t xml:space="preserve">
Datos válidos</t>
        </r>
      </text>
    </comment>
    <comment ref="J4" authorId="0" shapeId="0" xr:uid="{F49BD81F-89F5-4EFA-95A7-E8D066C38B16}">
      <text>
        <r>
          <rPr>
            <b/>
            <sz val="9"/>
            <color indexed="81"/>
            <rFont val="Tahoma"/>
            <family val="2"/>
          </rPr>
          <t>Usuario 207:</t>
        </r>
        <r>
          <rPr>
            <sz val="9"/>
            <color indexed="81"/>
            <rFont val="Tahoma"/>
            <family val="2"/>
          </rPr>
          <t xml:space="preserve">
Es el valor que toma el dato, en caso de que no sea proporcionado</t>
        </r>
      </text>
    </comment>
    <comment ref="K4" authorId="0" shapeId="0" xr:uid="{F102C2D7-A930-4B2A-BE43-C58254C129B8}">
      <text>
        <r>
          <rPr>
            <b/>
            <sz val="9"/>
            <color indexed="81"/>
            <rFont val="Tahoma"/>
            <family val="2"/>
          </rPr>
          <t>Usuario 207:</t>
        </r>
        <r>
          <rPr>
            <sz val="9"/>
            <color indexed="81"/>
            <rFont val="Tahoma"/>
            <family val="2"/>
          </rPr>
          <t xml:space="preserve">
Qué regla debe cumplir el dato</t>
        </r>
      </text>
    </comment>
    <comment ref="L4" authorId="0" shapeId="0" xr:uid="{AE94CD44-89E6-4FD7-A47C-B7ED8EE92672}">
      <text>
        <r>
          <rPr>
            <b/>
            <sz val="9"/>
            <color indexed="81"/>
            <rFont val="Tahoma"/>
            <family val="2"/>
          </rPr>
          <t>Usuario 207:</t>
        </r>
        <r>
          <rPr>
            <sz val="9"/>
            <color indexed="81"/>
            <rFont val="Tahoma"/>
            <family val="2"/>
          </rPr>
          <t xml:space="preserve">
Indica si el dato será generado de forma automática o no</t>
        </r>
      </text>
    </comment>
    <comment ref="M4" authorId="0" shapeId="0" xr:uid="{D36D7012-708C-4696-A89D-6E47947D34B5}">
      <text>
        <r>
          <rPr>
            <b/>
            <sz val="9"/>
            <color indexed="81"/>
            <rFont val="Tahoma"/>
            <family val="2"/>
          </rPr>
          <t>Usuario 207:</t>
        </r>
        <r>
          <rPr>
            <sz val="9"/>
            <color indexed="81"/>
            <rFont val="Tahoma"/>
            <family val="2"/>
          </rPr>
          <t xml:space="preserve">
Indica si el dato se puede computar u obtener a partir del cálculo de otros atributos</t>
        </r>
      </text>
    </comment>
    <comment ref="N4" authorId="0" shapeId="0" xr:uid="{D65BFEB3-7C05-445A-9EFD-85FA2CE486CF}">
      <text>
        <r>
          <rPr>
            <b/>
            <sz val="9"/>
            <color indexed="81"/>
            <rFont val="Tahoma"/>
            <family val="2"/>
          </rPr>
          <t>Usuario 207:</t>
        </r>
        <r>
          <rPr>
            <sz val="9"/>
            <color indexed="81"/>
            <rFont val="Tahoma"/>
            <family val="2"/>
          </rPr>
          <t xml:space="preserve">
Indica si el dato es requerido</t>
        </r>
      </text>
    </comment>
    <comment ref="O4" authorId="0" shapeId="0" xr:uid="{E5BC0180-83DD-4408-8D31-6798231A9A67}">
      <text>
        <r>
          <rPr>
            <b/>
            <sz val="9"/>
            <color indexed="81"/>
            <rFont val="Tahoma"/>
            <family val="2"/>
          </rPr>
          <t>Usuario 207:</t>
        </r>
        <r>
          <rPr>
            <sz val="9"/>
            <color indexed="81"/>
            <rFont val="Tahoma"/>
            <family val="2"/>
          </rPr>
          <t xml:space="preserve">
Indica si el dato por su importancia y criticidad, debe ser custodiado de forma especial.</t>
        </r>
      </text>
    </comment>
    <comment ref="P4" authorId="0" shapeId="0" xr:uid="{D1892906-60DB-48D3-B943-177046107F58}">
      <text>
        <r>
          <rPr>
            <b/>
            <sz val="9"/>
            <color indexed="81"/>
            <rFont val="Tahoma"/>
            <family val="2"/>
          </rPr>
          <t>Usuario 207:</t>
        </r>
        <r>
          <rPr>
            <sz val="9"/>
            <color indexed="81"/>
            <rFont val="Tahoma"/>
            <family val="2"/>
          </rPr>
          <t xml:space="preserve">
Es el atributo que hace que cada conjunto de datos de un objeto de dominio sean únicos.</t>
        </r>
      </text>
    </comment>
    <comment ref="Q4" authorId="0" shapeId="0" xr:uid="{592E92FC-DD72-47AD-88F3-2C633DB90796}">
      <text>
        <r>
          <rPr>
            <b/>
            <sz val="9"/>
            <color indexed="81"/>
            <rFont val="Tahoma"/>
            <family val="2"/>
          </rPr>
          <t>Usuario 207:</t>
        </r>
        <r>
          <rPr>
            <sz val="9"/>
            <color indexed="81"/>
            <rFont val="Tahoma"/>
            <family val="2"/>
          </rPr>
          <t xml:space="preserve">
De forma clara y en términos de negocio, describe a qué hace referencia el atributo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207</author>
  </authors>
  <commentList>
    <comment ref="A4" authorId="0" shapeId="0" xr:uid="{8E5A7F26-55AB-4461-9552-64468FD2CB08}">
      <text>
        <r>
          <rPr>
            <b/>
            <sz val="9"/>
            <color indexed="81"/>
            <rFont val="Tahoma"/>
            <family val="2"/>
          </rPr>
          <t>Usuario 207:</t>
        </r>
        <r>
          <rPr>
            <sz val="9"/>
            <color indexed="81"/>
            <rFont val="Tahoma"/>
            <family val="2"/>
          </rPr>
          <t xml:space="preserve">
Nombre del atributo (recomendación en lowerCamelCase)</t>
        </r>
      </text>
    </comment>
    <comment ref="B4" authorId="0" shapeId="0" xr:uid="{16E78EA4-6E75-4823-8EF8-3D9501063EDC}">
      <text>
        <r>
          <rPr>
            <b/>
            <sz val="9"/>
            <color indexed="81"/>
            <rFont val="Tahoma"/>
            <family val="2"/>
          </rPr>
          <t>Usuario 207:</t>
        </r>
        <r>
          <rPr>
            <sz val="9"/>
            <color indexed="81"/>
            <rFont val="Tahoma"/>
            <family val="2"/>
          </rPr>
          <t xml:space="preserve">
Carácter: Sólo un carácter
Texto: Combinación de letras y espacios
Alfanumérico: Combinación de cualquier tipo de carácter
Lógico: Verdadero/Falso
Fecha: Sólo para día, mes y año
Fecha-Tiempo: Para día, mes, año, horas, minutos y segundos
Numérico entero: Números enteros
Numérico decimal: Números de coma flotante</t>
        </r>
      </text>
    </comment>
    <comment ref="C4" authorId="0" shapeId="0" xr:uid="{732F2D1C-E05F-47E4-B622-0E9F1E628359}">
      <text>
        <r>
          <rPr>
            <b/>
            <sz val="9"/>
            <color indexed="81"/>
            <rFont val="Tahoma"/>
            <family val="2"/>
          </rPr>
          <t>Usuario 207:</t>
        </r>
        <r>
          <rPr>
            <sz val="9"/>
            <color indexed="81"/>
            <rFont val="Tahoma"/>
            <family val="2"/>
          </rPr>
          <t xml:space="preserve">
Sólo aplica para datos que son Carácter, Texto y Alfanumérico. Es un dato opcional</t>
        </r>
      </text>
    </comment>
    <comment ref="D4" authorId="0" shapeId="0" xr:uid="{D106619C-0C2B-4A95-B833-7336D8FA348F}">
      <text>
        <r>
          <rPr>
            <b/>
            <sz val="9"/>
            <color indexed="81"/>
            <rFont val="Tahoma"/>
            <family val="2"/>
          </rPr>
          <t>Usuario 207:</t>
        </r>
        <r>
          <rPr>
            <sz val="9"/>
            <color indexed="81"/>
            <rFont val="Tahoma"/>
            <family val="2"/>
          </rPr>
          <t xml:space="preserve">
Usuario 207:
Sólo aplica para datos que son Carácter, Texto y Alfanumérico. Es un dato opcional</t>
        </r>
      </text>
    </comment>
    <comment ref="E4" authorId="0" shapeId="0" xr:uid="{9312D873-8788-428B-965D-138FD43D1BEE}">
      <text>
        <r>
          <rPr>
            <b/>
            <sz val="9"/>
            <color indexed="81"/>
            <rFont val="Tahoma"/>
            <family val="2"/>
          </rPr>
          <t>Usuario 207:</t>
        </r>
        <r>
          <rPr>
            <sz val="9"/>
            <color indexed="81"/>
            <rFont val="Tahoma"/>
            <family val="2"/>
          </rPr>
          <t xml:space="preserve">
Sólo aplica para datos decimales.</t>
        </r>
      </text>
    </comment>
    <comment ref="F4" authorId="0" shapeId="0" xr:uid="{41BE9D19-14F7-4E4B-AACF-C641570714D9}">
      <text>
        <r>
          <rPr>
            <b/>
            <sz val="9"/>
            <color indexed="81"/>
            <rFont val="Tahoma"/>
            <family val="2"/>
          </rPr>
          <t>Usuario 207:</t>
        </r>
        <r>
          <rPr>
            <sz val="9"/>
            <color indexed="81"/>
            <rFont val="Tahoma"/>
            <family val="2"/>
          </rPr>
          <t xml:space="preserve">
Hacia arriba
Hacia abajo
Truncar con cuantos decimales</t>
        </r>
      </text>
    </comment>
    <comment ref="G4" authorId="0" shapeId="0" xr:uid="{4C452012-72AE-456B-A61A-3C34CD4778CD}">
      <text>
        <r>
          <rPr>
            <b/>
            <sz val="9"/>
            <color indexed="81"/>
            <rFont val="Tahoma"/>
            <family val="2"/>
          </rPr>
          <t>Usuario 207:</t>
        </r>
        <r>
          <rPr>
            <sz val="9"/>
            <color indexed="81"/>
            <rFont val="Tahoma"/>
            <family val="2"/>
          </rPr>
          <t xml:space="preserve">
Rango inicial válido para los datos</t>
        </r>
      </text>
    </comment>
    <comment ref="H4" authorId="0" shapeId="0" xr:uid="{EAD52B87-53BE-4AB9-84D4-DBECF0B0435F}">
      <text>
        <r>
          <rPr>
            <b/>
            <sz val="9"/>
            <color indexed="81"/>
            <rFont val="Tahoma"/>
            <family val="2"/>
          </rPr>
          <t>Usuario 207:</t>
        </r>
        <r>
          <rPr>
            <sz val="9"/>
            <color indexed="81"/>
            <rFont val="Tahoma"/>
            <family val="2"/>
          </rPr>
          <t xml:space="preserve">
Usuario 207:
Hace referencia al rango final válido para un dato</t>
        </r>
      </text>
    </comment>
    <comment ref="I4" authorId="0" shapeId="0" xr:uid="{2AC8D3D5-5AA5-44F2-9A26-DFEEDC36A163}">
      <text>
        <r>
          <rPr>
            <b/>
            <sz val="9"/>
            <color indexed="81"/>
            <rFont val="Tahoma"/>
            <family val="2"/>
          </rPr>
          <t>Usuario 207:</t>
        </r>
        <r>
          <rPr>
            <sz val="9"/>
            <color indexed="81"/>
            <rFont val="Tahoma"/>
            <family val="2"/>
          </rPr>
          <t xml:space="preserve">
Datos válidos</t>
        </r>
      </text>
    </comment>
    <comment ref="J4" authorId="0" shapeId="0" xr:uid="{C78C384D-9D8C-40C2-9DA3-1E7CB3C67D0D}">
      <text>
        <r>
          <rPr>
            <b/>
            <sz val="9"/>
            <color indexed="81"/>
            <rFont val="Tahoma"/>
            <family val="2"/>
          </rPr>
          <t>Usuario 207:</t>
        </r>
        <r>
          <rPr>
            <sz val="9"/>
            <color indexed="81"/>
            <rFont val="Tahoma"/>
            <family val="2"/>
          </rPr>
          <t xml:space="preserve">
Es el valor que toma el dato, en caso de que no sea proporcionado</t>
        </r>
      </text>
    </comment>
    <comment ref="K4" authorId="0" shapeId="0" xr:uid="{F61CF7D6-44BB-4253-BBD1-8F469187A65A}">
      <text>
        <r>
          <rPr>
            <b/>
            <sz val="9"/>
            <color indexed="81"/>
            <rFont val="Tahoma"/>
            <family val="2"/>
          </rPr>
          <t>Usuario 207:</t>
        </r>
        <r>
          <rPr>
            <sz val="9"/>
            <color indexed="81"/>
            <rFont val="Tahoma"/>
            <family val="2"/>
          </rPr>
          <t xml:space="preserve">
Qué regla debe cumplir el dato</t>
        </r>
      </text>
    </comment>
    <comment ref="L4" authorId="0" shapeId="0" xr:uid="{A4C167E0-54FA-4878-9D2D-D9B364DBA04D}">
      <text>
        <r>
          <rPr>
            <b/>
            <sz val="9"/>
            <color indexed="81"/>
            <rFont val="Tahoma"/>
            <family val="2"/>
          </rPr>
          <t>Usuario 207:</t>
        </r>
        <r>
          <rPr>
            <sz val="9"/>
            <color indexed="81"/>
            <rFont val="Tahoma"/>
            <family val="2"/>
          </rPr>
          <t xml:space="preserve">
Indica si el dato será generado de forma automática o no</t>
        </r>
      </text>
    </comment>
    <comment ref="M4" authorId="0" shapeId="0" xr:uid="{A7546010-3858-4F6A-850C-86A1105798B2}">
      <text>
        <r>
          <rPr>
            <b/>
            <sz val="9"/>
            <color indexed="81"/>
            <rFont val="Tahoma"/>
            <family val="2"/>
          </rPr>
          <t>Usuario 207:</t>
        </r>
        <r>
          <rPr>
            <sz val="9"/>
            <color indexed="81"/>
            <rFont val="Tahoma"/>
            <family val="2"/>
          </rPr>
          <t xml:space="preserve">
Indica si el dato se puede computar u obtener a partir del cálculo de otros atributos</t>
        </r>
      </text>
    </comment>
    <comment ref="N4" authorId="0" shapeId="0" xr:uid="{8C5CA09B-1302-4548-958B-FD03D3CA0BF4}">
      <text>
        <r>
          <rPr>
            <b/>
            <sz val="9"/>
            <color indexed="81"/>
            <rFont val="Tahoma"/>
            <family val="2"/>
          </rPr>
          <t>Usuario 207:</t>
        </r>
        <r>
          <rPr>
            <sz val="9"/>
            <color indexed="81"/>
            <rFont val="Tahoma"/>
            <family val="2"/>
          </rPr>
          <t xml:space="preserve">
Indica si el dato es requerido</t>
        </r>
      </text>
    </comment>
    <comment ref="O4" authorId="0" shapeId="0" xr:uid="{780E9202-C88A-4CF5-97C8-6594A7F1B012}">
      <text>
        <r>
          <rPr>
            <b/>
            <sz val="9"/>
            <color indexed="81"/>
            <rFont val="Tahoma"/>
            <family val="2"/>
          </rPr>
          <t>Usuario 207:</t>
        </r>
        <r>
          <rPr>
            <sz val="9"/>
            <color indexed="81"/>
            <rFont val="Tahoma"/>
            <family val="2"/>
          </rPr>
          <t xml:space="preserve">
Indica si el dato por su importancia y criticidad, debe ser custodiado de forma especial.</t>
        </r>
      </text>
    </comment>
    <comment ref="P4" authorId="0" shapeId="0" xr:uid="{AB6A1242-BA51-4F4E-902B-0CA4C2EECE40}">
      <text>
        <r>
          <rPr>
            <b/>
            <sz val="9"/>
            <color indexed="81"/>
            <rFont val="Tahoma"/>
            <family val="2"/>
          </rPr>
          <t>Usuario 207:</t>
        </r>
        <r>
          <rPr>
            <sz val="9"/>
            <color indexed="81"/>
            <rFont val="Tahoma"/>
            <family val="2"/>
          </rPr>
          <t xml:space="preserve">
Es el atributo que hace que cada conjunto de datos de un objeto de dominio sean únicos.</t>
        </r>
      </text>
    </comment>
    <comment ref="Q4" authorId="0" shapeId="0" xr:uid="{B2C52077-0F03-4B01-91DE-6BAD925EF0B4}">
      <text>
        <r>
          <rPr>
            <b/>
            <sz val="9"/>
            <color indexed="81"/>
            <rFont val="Tahoma"/>
            <family val="2"/>
          </rPr>
          <t>Usuario 207:</t>
        </r>
        <r>
          <rPr>
            <sz val="9"/>
            <color indexed="81"/>
            <rFont val="Tahoma"/>
            <family val="2"/>
          </rPr>
          <t xml:space="preserve">
De forma clara y en términos de negocio, describe a qué hace referencia el atributo</t>
        </r>
      </text>
    </comment>
  </commentList>
</comments>
</file>

<file path=xl/sharedStrings.xml><?xml version="1.0" encoding="utf-8"?>
<sst xmlns="http://schemas.openxmlformats.org/spreadsheetml/2006/main" count="491" uniqueCount="185">
  <si>
    <t>Tipo Objeto Dominio</t>
  </si>
  <si>
    <t>Tipo</t>
  </si>
  <si>
    <t>Descripción</t>
  </si>
  <si>
    <t>Propio</t>
  </si>
  <si>
    <t>Cuando el objeto de dominio es parte del contexto actual</t>
  </si>
  <si>
    <t>Referenciado</t>
  </si>
  <si>
    <t>Cuando el objeto de dominio es parte de otro contexto</t>
  </si>
  <si>
    <t>Carácter</t>
  </si>
  <si>
    <t>Texto</t>
  </si>
  <si>
    <t>Alfanumerico</t>
  </si>
  <si>
    <t>Logico</t>
  </si>
  <si>
    <t>Fecha</t>
  </si>
  <si>
    <t>Fecha-tiempo</t>
  </si>
  <si>
    <t>entero</t>
  </si>
  <si>
    <t>decimal</t>
  </si>
  <si>
    <t>referenciado</t>
  </si>
  <si>
    <t>Subdominio/Contexto:</t>
  </si>
  <si>
    <t>Nombre</t>
  </si>
  <si>
    <t>Contexto</t>
  </si>
  <si>
    <t>Residente</t>
  </si>
  <si>
    <t>&lt;-Volver al inicio</t>
  </si>
  <si>
    <t>Objeto de Dominio:</t>
  </si>
  <si>
    <t>Descripción:</t>
  </si>
  <si>
    <t>Atributo</t>
  </si>
  <si>
    <t>Tipo de Dato</t>
  </si>
  <si>
    <t>Longitud mínima</t>
  </si>
  <si>
    <t>Longitud máxima</t>
  </si>
  <si>
    <t>Precisión</t>
  </si>
  <si>
    <t>Tipo redondeo decimal</t>
  </si>
  <si>
    <t>Rango Inicial</t>
  </si>
  <si>
    <t>Rango Final</t>
  </si>
  <si>
    <t>Formato</t>
  </si>
  <si>
    <t>Valor por defecto</t>
  </si>
  <si>
    <t>Regla especial</t>
  </si>
  <si>
    <t>¿Auto generado?</t>
  </si>
  <si>
    <t>¿Calculado?</t>
  </si>
  <si>
    <t>¿Obligatorio?</t>
  </si>
  <si>
    <t>¿Sensible?</t>
  </si>
  <si>
    <t>¿Identifica al registro?</t>
  </si>
  <si>
    <t>identificador</t>
  </si>
  <si>
    <t>xxxxxxxx-xxxx-xxxx-xxxx-xxxxxxxxxxxx, donde cada x representa un dígito del 0 al 9 o una letra de la "A" a la "F"</t>
  </si>
  <si>
    <t>Si</t>
  </si>
  <si>
    <t>No</t>
  </si>
  <si>
    <t>nombre</t>
  </si>
  <si>
    <t>Sólo letras y espacios</t>
  </si>
  <si>
    <t>sólo números enteros</t>
  </si>
  <si>
    <t>Quitar espacios en blanco al inicio, al final, y entre números</t>
  </si>
  <si>
    <t>Combinaciones únicas</t>
  </si>
  <si>
    <t>Nombre combinación</t>
  </si>
  <si>
    <t>Atributos</t>
  </si>
  <si>
    <t>identificador de residente</t>
  </si>
  <si>
    <t>Responsabilidad</t>
  </si>
  <si>
    <t>Entradas</t>
  </si>
  <si>
    <t>Salida</t>
  </si>
  <si>
    <t>Políticas (Reglas de Negocio)</t>
  </si>
  <si>
    <t>Excepción</t>
  </si>
  <si>
    <t>Parámetro</t>
  </si>
  <si>
    <t>Tipo de dato</t>
  </si>
  <si>
    <t>Política</t>
  </si>
  <si>
    <t>Detalle</t>
  </si>
  <si>
    <t>¿Qué hago?</t>
  </si>
  <si>
    <t>Residentes</t>
  </si>
  <si>
    <t>xxxxxxxxxxxxxxxxxx@xxxxxxxxx.com  donde cada x representa un digito del 0 al 9 o una letra de la "A" a la "Z" y debe terminas en .com o .co</t>
  </si>
  <si>
    <t>apellido</t>
  </si>
  <si>
    <t>fechaNacimiento</t>
  </si>
  <si>
    <t>inmueble</t>
  </si>
  <si>
    <t>Representa el lugar donde vive el residente dentro del conjunto residencial.</t>
  </si>
  <si>
    <t>(MM/dd/aaaa)</t>
  </si>
  <si>
    <t>Inmueble</t>
  </si>
  <si>
    <t>Objeto de dominio que representa a un residente que vive dentro de un inmueble en un conjunto residencial</t>
  </si>
  <si>
    <t xml:space="preserve">Objeto de dominio que representa el inmueble donde vive el residente del conjunto residencial. </t>
  </si>
  <si>
    <t>tipoDocumento</t>
  </si>
  <si>
    <t>contraseña</t>
  </si>
  <si>
    <t>zona de Inmueble- tipo de inueble - numero del inmueble</t>
  </si>
  <si>
    <t>Sólo letras que pueden ser mayúsculas o minusculas, números y los caracteres especiales.</t>
  </si>
  <si>
    <t>Debe contener al menos una minuscula un carácter especial y un número, No puede contener espacios.</t>
  </si>
  <si>
    <t>Entero</t>
  </si>
  <si>
    <t>numeroDocumento</t>
  </si>
  <si>
    <t>numeroContacto</t>
  </si>
  <si>
    <t>Es un dato que hace que cada residente sea único.</t>
  </si>
  <si>
    <t>Es un dato que representa el nombre del residente.</t>
  </si>
  <si>
    <t>Es un dato que representa el apellido de un residente</t>
  </si>
  <si>
    <t>este dato representa en forma textual , que tipo de documento tiene el residente como TI, CC, RC, PASS.</t>
  </si>
  <si>
    <t>Es un dato que representa el numero único del documento de un residente.</t>
  </si>
  <si>
    <t>Es un dato que representa la fecha de nacimiento que tiene un residente.</t>
  </si>
  <si>
    <t>Este dato representa el número de contacto de un residente.</t>
  </si>
  <si>
    <t>Este dato representa el correo electrónico de un residente</t>
  </si>
  <si>
    <t>este dato representa la contraseña con la que ingresa el residente</t>
  </si>
  <si>
    <t>Combinación única 1</t>
  </si>
  <si>
    <t>No puede haber mas de un residente con el mismo tipo de documento y el mismo número de documento.</t>
  </si>
  <si>
    <t>Combinación única 2</t>
  </si>
  <si>
    <t>No puede haber mas de un residente con el mismo número de contacto</t>
  </si>
  <si>
    <t>No puede haber mas de un residente con el mismo correo.</t>
  </si>
  <si>
    <t>correoElectronico</t>
  </si>
  <si>
    <t>Número de contacto del residente</t>
  </si>
  <si>
    <t>Correo electronico del residente</t>
  </si>
  <si>
    <t>Es un dato que hace que cada inmueble sea único.</t>
  </si>
  <si>
    <t>Este atributo representa el número especifico del inmueble.</t>
  </si>
  <si>
    <t>Registrar</t>
  </si>
  <si>
    <t>Requerido</t>
  </si>
  <si>
    <t>Filtro/No Listar</t>
  </si>
  <si>
    <t>Requerido/No modificable</t>
  </si>
  <si>
    <t>Filtro/Listar</t>
  </si>
  <si>
    <t>Requerido/Modificable</t>
  </si>
  <si>
    <t>No requerido</t>
  </si>
  <si>
    <t>Acción dónde un administrador podrá crear un inmueble.</t>
  </si>
  <si>
    <t>Inmueble-Pol0001</t>
  </si>
  <si>
    <t>Asegurar que los datos requeridos para registrar la información del inmueble que sean válidos a nivel de tipo de dato,formato, rango, longitud y obligatoriedad.</t>
  </si>
  <si>
    <t>En caso de que la politica no se cumpla, se deberá generar un mensaje de error indicando que los datos no fueron validos a nivel de tipo de dato, longitud, obligatoriedad, formato y rango y de ser posible, se emite una recomendación para solucionar el problema.</t>
  </si>
  <si>
    <t>Detener de forma inmediata le ejecución del proceso actual.</t>
  </si>
  <si>
    <t>Inmueble-Pol0002</t>
  </si>
  <si>
    <t>Se debe asegurar no exista un inmueble.</t>
  </si>
  <si>
    <t>En caso de que la politica no se cumpla, se deberá generar un mensaje de error indicando que se intenta registrar un inmueble que tiene el identificador ya existente.</t>
  </si>
  <si>
    <t>Continuo el proceso generando nuevos identificadores hasta asegurar que no esten asignados a otro Inmueble.</t>
  </si>
  <si>
    <t>Inmueble-Pol0003</t>
  </si>
  <si>
    <t>No es posible tener más de un inmueble con el mismo número de inmueble  para un mismo conjunto residencial.</t>
  </si>
  <si>
    <t>En caso de que la politica no se cumpla, se deberá generar un mensaje de error indicando que se intenta registrar un inmueble ya existente.</t>
  </si>
  <si>
    <t>Detengo el proceso hasta que se ingresen datos valido para la creacion de un inmueble.</t>
  </si>
  <si>
    <t>Inmueble-Pol0004</t>
  </si>
  <si>
    <t>Asegurar que el identificador del inmueble que se desea registrar no haya sido asignado previamente a otro inmueble.</t>
  </si>
  <si>
    <t>En caso de que la politica no se cumpla, se deberá generar un mensaje de error indicando que se intente registrar un inmueble que esta previamente registrado en otro inmueble.</t>
  </si>
  <si>
    <t>Detengo el proceso hasta que se ingrese un inmueble que no este previamente asignado a otro inmueble.</t>
  </si>
  <si>
    <t>Buscar</t>
  </si>
  <si>
    <t>Acción de buscar la información asociada a un inmueble.</t>
  </si>
  <si>
    <t>Listado de todos los inmuebles que cumplen con los filtros de consulta: 1. Devuelve vacio cuandono se cumplan parametros de consulta. 2.Devuelve el listado de los inmuebles que cumplan con el filtro de consulta.</t>
  </si>
  <si>
    <t>Inmueble-Pol0006</t>
  </si>
  <si>
    <t>Se debe Asegurar que si se envian parametros de consulta sean válidos a nivel de tipo de dato,formato, rango, longitud y obligatoriedad.</t>
  </si>
  <si>
    <t>Modificar</t>
  </si>
  <si>
    <t>Acción de modificar los atributos de un inmueble.</t>
  </si>
  <si>
    <t>Inmueble-Pol0007</t>
  </si>
  <si>
    <t>Se debe asegura que exista.</t>
  </si>
  <si>
    <t>En caso de que la politica no se cumpla, se deberá generar un mensaje de error indicando que los datos que se ingresaron no pertenecen a ningun inmueble.</t>
  </si>
  <si>
    <t>Detengo el preceso hasta que se inserten datos validos ya exitententes.</t>
  </si>
  <si>
    <t>Eliminar</t>
  </si>
  <si>
    <t>Acción de eliminar un inmueble de un conjunto residencial.</t>
  </si>
  <si>
    <t>Acción dónde un administrador podrá crear un residente.</t>
  </si>
  <si>
    <t>Acción de buscar la información asociada a un residente.</t>
  </si>
  <si>
    <t>Acción de modificar los atributos de un residente.</t>
  </si>
  <si>
    <t>Acción de eliminar un residente de un conjunto residencial.</t>
  </si>
  <si>
    <t>Lista&lt;inmueble&gt;</t>
  </si>
  <si>
    <t>Lista&lt;Residente&gt;</t>
  </si>
  <si>
    <t>Resid-Pol0001</t>
  </si>
  <si>
    <t>Resid-Pol0002</t>
  </si>
  <si>
    <t>Resid-Pol0003</t>
  </si>
  <si>
    <t>Resid-Pol0004</t>
  </si>
  <si>
    <t>Resid-Pol0005</t>
  </si>
  <si>
    <t>Asegurar que los datos requeridos para registrar la información del nuevo residente sean válidos a nivel de tipo de dato,formato, rango, longitud y obligatoriedad.</t>
  </si>
  <si>
    <t>Detengo el proceso hasta que se ingresen datos valido para la creación del residente.</t>
  </si>
  <si>
    <t>Resid-Pol0006</t>
  </si>
  <si>
    <t>Resid-Pol0007</t>
  </si>
  <si>
    <t>En caso de que la politica no se cumpla, se deberá generar un mensaje de error indicando que los datos que se ingresaron no pertenecen a ningun residente.</t>
  </si>
  <si>
    <t>Filtro {Inmueble.identificador}/Listar {Inmueble.nombre}</t>
  </si>
  <si>
    <t>No filtrar</t>
  </si>
  <si>
    <t>Listado de todos los residentes que cumplen con los filtros de consulta: 1. Devuelve vacio cuando no se cumplan parametros de consulta. 2.Devuelve el listado de los residentes que cumplan con el filtro de consulta.</t>
  </si>
  <si>
    <t>identificadorConjuntoResidencial</t>
  </si>
  <si>
    <t>nombreConjuntoResidencial</t>
  </si>
  <si>
    <t>identificadorTipoInmueble</t>
  </si>
  <si>
    <t>nombreTipoInmueble</t>
  </si>
  <si>
    <t>identificadorInmueble</t>
  </si>
  <si>
    <t>numeroViviendaInmueble</t>
  </si>
  <si>
    <t xml:space="preserve">Datos unicos para comunicación </t>
  </si>
  <si>
    <t>No es posible tener otra trasferencia identedica.</t>
  </si>
  <si>
    <t>Es un dato que hace que cada conjunto residencial sea único.</t>
  </si>
  <si>
    <t>Quitar espacios en blanco al inicio, al final, y entre palabras.</t>
  </si>
  <si>
    <t>Es un dato que representa al nombre de un conjunto residencial</t>
  </si>
  <si>
    <t>Es un dato que hace que cada tipo de inmueble sea único.</t>
  </si>
  <si>
    <t>Este atributo representa el número especifico del tipo de inmueble inmueble.</t>
  </si>
  <si>
    <t>identificadorTipoZonaInmueble</t>
  </si>
  <si>
    <t>nombreTipoZonaInmueble</t>
  </si>
  <si>
    <t>identificadorZonaInmueble</t>
  </si>
  <si>
    <t>numeroZonaInmuebleZonaInmueble</t>
  </si>
  <si>
    <t>Es un dato que hace que cada zona imueble sea única.</t>
  </si>
  <si>
    <t>solo números</t>
  </si>
  <si>
    <t>Quitar espacios en blanco al inicio y al final.</t>
  </si>
  <si>
    <t>Es el atributo que representa el numero que pertenece a un tipo de zona inmueble .</t>
  </si>
  <si>
    <t>Residente debe estar asociado a un Inmueble existente en el contexto Conjuntos Residenciales</t>
  </si>
  <si>
    <t>Los datos personales del residente deben ser válidos.</t>
  </si>
  <si>
    <t>En caso de que la politica no se cumpla, se deberá generar un mensaje de error indicando que se intenta registrar un residente que tiene asociado un inmueble que no existe.</t>
  </si>
  <si>
    <t>En caso de que la politica no se cumpla, se deberá generar un mensaje de error indicando que se intenta registrar un residente el cual los datos no son validos.</t>
  </si>
  <si>
    <t>Se debe asegurar que exista.</t>
  </si>
  <si>
    <t>Los datos personales y la referencia al Inmueble deben ser válidos.</t>
  </si>
  <si>
    <t>En caso de que la politica no se cumpla, se deberá generar un mensaje de error indicando que el residenten que intenta modificar no existe</t>
  </si>
  <si>
    <t>Detengo el proceso hasta que se encuenre un residente existente para modificar.</t>
  </si>
  <si>
    <t>En caso de que la politica no se cumpla, se deberá generar un mensaje de error indicando que la referencia del inmueble o los datos personales no son validos.</t>
  </si>
  <si>
    <t>Detengo el preceso hasta que se inserten datos validos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</si>
</sst>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9">
    <xf numFmtId="0" fontId="0" fillId="0" borderId="0" xfId="0"/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0" borderId="0" xfId="0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2" borderId="8" xfId="1" applyFill="1" applyBorder="1" applyAlignment="1">
      <alignment vertical="center"/>
    </xf>
    <xf numFmtId="0" fontId="0" fillId="2" borderId="8" xfId="0" applyFill="1" applyBorder="1" applyAlignment="1">
      <alignment vertical="center" wrapText="1"/>
    </xf>
    <xf numFmtId="0" fontId="0" fillId="2" borderId="8" xfId="0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vertical="center"/>
    </xf>
    <xf numFmtId="0" fontId="4" fillId="4" borderId="8" xfId="0" applyFont="1" applyFill="1" applyBorder="1" applyAlignment="1">
      <alignment vertical="center"/>
    </xf>
    <xf numFmtId="0" fontId="4" fillId="4" borderId="8" xfId="0" applyFont="1" applyFill="1" applyBorder="1" applyAlignment="1">
      <alignment vertical="center" wrapText="1"/>
    </xf>
    <xf numFmtId="0" fontId="4" fillId="4" borderId="8" xfId="0" quotePrefix="1" applyFont="1" applyFill="1" applyBorder="1" applyAlignment="1">
      <alignment vertical="center" wrapText="1"/>
    </xf>
    <xf numFmtId="0" fontId="4" fillId="4" borderId="8" xfId="0" applyFont="1" applyFill="1" applyBorder="1" applyAlignment="1">
      <alignment horizontal="left" vertical="center"/>
    </xf>
    <xf numFmtId="0" fontId="0" fillId="3" borderId="8" xfId="0" applyFill="1" applyBorder="1" applyAlignment="1">
      <alignment vertical="center"/>
    </xf>
    <xf numFmtId="0" fontId="0" fillId="6" borderId="8" xfId="0" applyFill="1" applyBorder="1" applyAlignment="1">
      <alignment vertical="center"/>
    </xf>
    <xf numFmtId="0" fontId="0" fillId="7" borderId="8" xfId="0" applyFill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2" fillId="3" borderId="8" xfId="1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 wrapText="1"/>
    </xf>
    <xf numFmtId="0" fontId="0" fillId="3" borderId="8" xfId="0" applyFill="1" applyBorder="1" applyAlignment="1">
      <alignment vertical="center" wrapText="1"/>
    </xf>
    <xf numFmtId="0" fontId="0" fillId="6" borderId="8" xfId="0" applyFill="1" applyBorder="1" applyAlignment="1">
      <alignment horizontal="left" vertical="center" wrapText="1"/>
    </xf>
    <xf numFmtId="0" fontId="2" fillId="6" borderId="8" xfId="1" applyFill="1" applyBorder="1" applyAlignment="1">
      <alignment horizontal="left" vertical="center"/>
    </xf>
    <xf numFmtId="0" fontId="0" fillId="6" borderId="8" xfId="0" applyFill="1" applyBorder="1" applyAlignment="1">
      <alignment horizontal="center" vertical="center"/>
    </xf>
    <xf numFmtId="0" fontId="0" fillId="7" borderId="8" xfId="0" applyFill="1" applyBorder="1" applyAlignment="1">
      <alignment horizontal="left" vertical="center" wrapText="1"/>
    </xf>
    <xf numFmtId="0" fontId="0" fillId="7" borderId="8" xfId="0" applyFill="1" applyBorder="1" applyAlignment="1">
      <alignment horizontal="center" vertical="center"/>
    </xf>
    <xf numFmtId="0" fontId="0" fillId="7" borderId="8" xfId="0" applyFill="1" applyBorder="1" applyAlignment="1">
      <alignment vertical="center" wrapText="1"/>
    </xf>
    <xf numFmtId="0" fontId="2" fillId="9" borderId="8" xfId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5" borderId="1" xfId="0" applyFont="1" applyFill="1" applyBorder="1" applyAlignment="1">
      <alignment vertical="center"/>
    </xf>
    <xf numFmtId="0" fontId="0" fillId="3" borderId="8" xfId="0" applyFill="1" applyBorder="1" applyAlignment="1">
      <alignment horizontal="center" vertical="center" wrapText="1"/>
    </xf>
    <xf numFmtId="0" fontId="2" fillId="2" borderId="7" xfId="1" applyFill="1" applyBorder="1" applyAlignment="1">
      <alignment horizontal="center" vertical="center"/>
    </xf>
    <xf numFmtId="0" fontId="2" fillId="3" borderId="7" xfId="1" applyFill="1" applyBorder="1" applyAlignment="1">
      <alignment horizontal="center" vertical="center"/>
    </xf>
    <xf numFmtId="0" fontId="2" fillId="6" borderId="7" xfId="1" applyFill="1" applyBorder="1" applyAlignment="1">
      <alignment horizontal="center" vertical="center"/>
    </xf>
    <xf numFmtId="0" fontId="2" fillId="7" borderId="7" xfId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 wrapText="1"/>
    </xf>
    <xf numFmtId="0" fontId="2" fillId="2" borderId="11" xfId="1" applyFill="1" applyBorder="1" applyAlignment="1">
      <alignment vertical="center"/>
    </xf>
    <xf numFmtId="0" fontId="0" fillId="2" borderId="4" xfId="0" applyFill="1" applyBorder="1" applyAlignment="1">
      <alignment vertical="center" wrapText="1"/>
    </xf>
    <xf numFmtId="0" fontId="2" fillId="2" borderId="33" xfId="1" applyFill="1" applyBorder="1" applyAlignment="1">
      <alignment vertical="center"/>
    </xf>
    <xf numFmtId="0" fontId="0" fillId="3" borderId="4" xfId="0" applyFill="1" applyBorder="1" applyAlignment="1">
      <alignment vertical="center" wrapText="1"/>
    </xf>
    <xf numFmtId="0" fontId="0" fillId="6" borderId="11" xfId="0" applyFill="1" applyBorder="1" applyAlignment="1">
      <alignment vertical="center"/>
    </xf>
    <xf numFmtId="0" fontId="0" fillId="6" borderId="11" xfId="0" applyFill="1" applyBorder="1" applyAlignment="1">
      <alignment vertical="center" wrapText="1"/>
    </xf>
    <xf numFmtId="0" fontId="0" fillId="6" borderId="35" xfId="0" applyFill="1" applyBorder="1" applyAlignment="1">
      <alignment vertical="center" wrapText="1"/>
    </xf>
    <xf numFmtId="0" fontId="2" fillId="9" borderId="8" xfId="1" applyFill="1" applyBorder="1" applyAlignment="1">
      <alignment vertical="center"/>
    </xf>
    <xf numFmtId="0" fontId="1" fillId="5" borderId="36" xfId="0" applyFont="1" applyFill="1" applyBorder="1" applyAlignment="1">
      <alignment horizontal="center" vertical="center"/>
    </xf>
    <xf numFmtId="0" fontId="1" fillId="5" borderId="36" xfId="0" applyFont="1" applyFill="1" applyBorder="1" applyAlignment="1">
      <alignment horizontal="center" vertical="center" wrapText="1"/>
    </xf>
    <xf numFmtId="0" fontId="2" fillId="2" borderId="36" xfId="1" applyFill="1" applyBorder="1" applyAlignment="1">
      <alignment vertical="center"/>
    </xf>
    <xf numFmtId="0" fontId="0" fillId="2" borderId="36" xfId="0" applyFill="1" applyBorder="1" applyAlignment="1">
      <alignment vertical="center"/>
    </xf>
    <xf numFmtId="0" fontId="0" fillId="2" borderId="36" xfId="0" applyFill="1" applyBorder="1" applyAlignment="1">
      <alignment vertical="center" wrapText="1"/>
    </xf>
    <xf numFmtId="0" fontId="0" fillId="6" borderId="36" xfId="0" applyFill="1" applyBorder="1" applyAlignment="1">
      <alignment horizontal="center" vertical="center"/>
    </xf>
    <xf numFmtId="0" fontId="0" fillId="6" borderId="36" xfId="0" applyFill="1" applyBorder="1" applyAlignment="1">
      <alignment vertical="center" wrapText="1"/>
    </xf>
    <xf numFmtId="0" fontId="0" fillId="3" borderId="36" xfId="0" applyFill="1" applyBorder="1" applyAlignment="1">
      <alignment horizontal="left" vertical="center" wrapText="1"/>
    </xf>
    <xf numFmtId="0" fontId="2" fillId="3" borderId="36" xfId="1" applyFill="1" applyBorder="1" applyAlignment="1">
      <alignment horizontal="left" vertical="center" wrapText="1"/>
    </xf>
    <xf numFmtId="0" fontId="0" fillId="3" borderId="36" xfId="0" applyFill="1" applyBorder="1" applyAlignment="1">
      <alignment horizontal="center" vertical="center" wrapText="1"/>
    </xf>
    <xf numFmtId="0" fontId="0" fillId="3" borderId="36" xfId="0" applyFill="1" applyBorder="1" applyAlignment="1">
      <alignment vertical="center"/>
    </xf>
    <xf numFmtId="0" fontId="0" fillId="3" borderId="36" xfId="0" applyFill="1" applyBorder="1" applyAlignment="1">
      <alignment vertical="center" wrapText="1"/>
    </xf>
    <xf numFmtId="0" fontId="0" fillId="7" borderId="36" xfId="0" applyFill="1" applyBorder="1" applyAlignment="1">
      <alignment horizontal="left" vertical="center" wrapText="1"/>
    </xf>
    <xf numFmtId="0" fontId="0" fillId="7" borderId="36" xfId="0" applyFill="1" applyBorder="1" applyAlignment="1">
      <alignment vertical="center"/>
    </xf>
    <xf numFmtId="0" fontId="0" fillId="7" borderId="36" xfId="0" applyFill="1" applyBorder="1" applyAlignment="1">
      <alignment horizontal="center" vertical="center"/>
    </xf>
    <xf numFmtId="0" fontId="0" fillId="7" borderId="36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5" borderId="7" xfId="0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2" fillId="9" borderId="8" xfId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 wrapText="1"/>
    </xf>
    <xf numFmtId="0" fontId="0" fillId="2" borderId="36" xfId="0" applyFill="1" applyBorder="1" applyAlignment="1">
      <alignment horizontal="center" vertical="center" wrapText="1"/>
    </xf>
    <xf numFmtId="0" fontId="1" fillId="5" borderId="36" xfId="0" applyFont="1" applyFill="1" applyBorder="1" applyAlignment="1">
      <alignment horizontal="center" vertical="center"/>
    </xf>
    <xf numFmtId="0" fontId="2" fillId="0" borderId="0" xfId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 wrapText="1"/>
    </xf>
    <xf numFmtId="0" fontId="2" fillId="2" borderId="36" xfId="1" applyFill="1" applyBorder="1" applyAlignment="1">
      <alignment horizontal="left" vertical="center"/>
    </xf>
    <xf numFmtId="0" fontId="0" fillId="2" borderId="36" xfId="0" applyFill="1" applyBorder="1" applyAlignment="1">
      <alignment horizontal="left" vertical="center" wrapText="1"/>
    </xf>
    <xf numFmtId="0" fontId="2" fillId="2" borderId="36" xfId="1" applyFill="1" applyBorder="1" applyAlignment="1">
      <alignment horizontal="left" vertical="center" wrapText="1"/>
    </xf>
    <xf numFmtId="0" fontId="0" fillId="6" borderId="36" xfId="0" applyFill="1" applyBorder="1" applyAlignment="1">
      <alignment horizontal="center" vertical="center" wrapText="1"/>
    </xf>
    <xf numFmtId="0" fontId="2" fillId="6" borderId="36" xfId="1" applyFill="1" applyBorder="1" applyAlignment="1">
      <alignment horizontal="center" vertical="center"/>
    </xf>
    <xf numFmtId="0" fontId="2" fillId="7" borderId="36" xfId="1" applyFill="1" applyBorder="1" applyAlignment="1">
      <alignment horizontal="left" vertical="center" wrapText="1"/>
    </xf>
    <xf numFmtId="0" fontId="0" fillId="7" borderId="36" xfId="0" applyFill="1" applyBorder="1" applyAlignment="1">
      <alignment horizontal="left" vertical="center" wrapText="1"/>
    </xf>
    <xf numFmtId="0" fontId="0" fillId="7" borderId="36" xfId="0" applyFill="1" applyBorder="1" applyAlignment="1">
      <alignment horizontal="center" vertical="center" wrapText="1"/>
    </xf>
    <xf numFmtId="0" fontId="2" fillId="3" borderId="36" xfId="1" applyFill="1" applyBorder="1" applyAlignment="1">
      <alignment horizontal="left" vertical="center"/>
    </xf>
    <xf numFmtId="0" fontId="0" fillId="3" borderId="36" xfId="0" applyFill="1" applyBorder="1" applyAlignment="1">
      <alignment horizontal="left" vertical="center" wrapText="1"/>
    </xf>
    <xf numFmtId="0" fontId="0" fillId="3" borderId="36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2" borderId="32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2" fillId="2" borderId="26" xfId="1" applyFill="1" applyBorder="1" applyAlignment="1">
      <alignment horizontal="left" vertical="center"/>
    </xf>
    <xf numFmtId="0" fontId="2" fillId="2" borderId="27" xfId="1" applyFill="1" applyBorder="1" applyAlignment="1">
      <alignment horizontal="left" vertical="center"/>
    </xf>
    <xf numFmtId="0" fontId="2" fillId="2" borderId="30" xfId="1" applyFill="1" applyBorder="1" applyAlignment="1">
      <alignment horizontal="left" vertical="center"/>
    </xf>
    <xf numFmtId="0" fontId="2" fillId="2" borderId="31" xfId="1" applyFill="1" applyBorder="1" applyAlignment="1">
      <alignment horizontal="left" vertical="center"/>
    </xf>
    <xf numFmtId="0" fontId="0" fillId="2" borderId="28" xfId="0" applyFill="1" applyBorder="1" applyAlignment="1">
      <alignment horizontal="left" vertical="center" wrapText="1"/>
    </xf>
    <xf numFmtId="0" fontId="0" fillId="2" borderId="29" xfId="0" applyFill="1" applyBorder="1" applyAlignment="1">
      <alignment horizontal="left" vertical="center" wrapText="1"/>
    </xf>
    <xf numFmtId="0" fontId="0" fillId="2" borderId="27" xfId="0" applyFill="1" applyBorder="1" applyAlignment="1">
      <alignment horizontal="left" vertical="center" wrapText="1"/>
    </xf>
    <xf numFmtId="0" fontId="0" fillId="2" borderId="32" xfId="0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2" borderId="31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0" fontId="0" fillId="2" borderId="33" xfId="0" applyFill="1" applyBorder="1" applyAlignment="1">
      <alignment horizontal="left" vertical="center" wrapText="1"/>
    </xf>
    <xf numFmtId="0" fontId="2" fillId="2" borderId="11" xfId="1" applyFill="1" applyBorder="1" applyAlignment="1">
      <alignment horizontal="left" vertical="center"/>
    </xf>
    <xf numFmtId="0" fontId="2" fillId="2" borderId="33" xfId="1" applyFill="1" applyBorder="1" applyAlignment="1">
      <alignment horizontal="left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33" xfId="0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2" fillId="7" borderId="34" xfId="1" applyFill="1" applyBorder="1" applyAlignment="1">
      <alignment horizontal="left" vertical="center" wrapText="1"/>
    </xf>
    <xf numFmtId="0" fontId="2" fillId="7" borderId="25" xfId="1" applyFill="1" applyBorder="1" applyAlignment="1">
      <alignment horizontal="left" vertical="center" wrapText="1"/>
    </xf>
    <xf numFmtId="0" fontId="0" fillId="7" borderId="23" xfId="0" applyFill="1" applyBorder="1" applyAlignment="1">
      <alignment horizontal="left" vertical="center" wrapText="1"/>
    </xf>
    <xf numFmtId="0" fontId="0" fillId="7" borderId="24" xfId="0" applyFill="1" applyBorder="1" applyAlignment="1">
      <alignment horizontal="left" vertical="center" wrapText="1"/>
    </xf>
    <xf numFmtId="0" fontId="0" fillId="7" borderId="25" xfId="0" applyFill="1" applyBorder="1" applyAlignment="1">
      <alignment horizontal="left" vertical="center" wrapText="1"/>
    </xf>
    <xf numFmtId="0" fontId="0" fillId="7" borderId="23" xfId="0" applyFill="1" applyBorder="1" applyAlignment="1">
      <alignment horizontal="center" vertical="center" wrapText="1"/>
    </xf>
    <xf numFmtId="0" fontId="0" fillId="7" borderId="24" xfId="0" applyFill="1" applyBorder="1" applyAlignment="1">
      <alignment horizontal="center" vertical="center" wrapText="1"/>
    </xf>
    <xf numFmtId="0" fontId="0" fillId="7" borderId="25" xfId="0" applyFill="1" applyBorder="1" applyAlignment="1">
      <alignment horizontal="center" vertical="center" wrapText="1"/>
    </xf>
    <xf numFmtId="0" fontId="2" fillId="3" borderId="34" xfId="1" applyFill="1" applyBorder="1" applyAlignment="1">
      <alignment horizontal="left" vertical="center"/>
    </xf>
    <xf numFmtId="0" fontId="2" fillId="3" borderId="25" xfId="1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 wrapText="1"/>
    </xf>
    <xf numFmtId="0" fontId="0" fillId="3" borderId="24" xfId="0" applyFill="1" applyBorder="1" applyAlignment="1">
      <alignment horizontal="left" vertical="center" wrapText="1"/>
    </xf>
    <xf numFmtId="0" fontId="0" fillId="3" borderId="25" xfId="0" applyFill="1" applyBorder="1" applyAlignment="1">
      <alignment horizontal="left" vertical="center" wrapText="1"/>
    </xf>
    <xf numFmtId="0" fontId="0" fillId="3" borderId="23" xfId="0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2" fillId="6" borderId="34" xfId="1" applyFill="1" applyBorder="1" applyAlignment="1">
      <alignment horizontal="left" vertical="center"/>
    </xf>
    <xf numFmtId="0" fontId="2" fillId="6" borderId="25" xfId="1" applyFill="1" applyBorder="1" applyAlignment="1">
      <alignment horizontal="left" vertical="center"/>
    </xf>
    <xf numFmtId="0" fontId="0" fillId="6" borderId="23" xfId="0" applyFill="1" applyBorder="1" applyAlignment="1">
      <alignment horizontal="left" vertical="center" wrapText="1"/>
    </xf>
    <xf numFmtId="0" fontId="0" fillId="6" borderId="24" xfId="0" applyFill="1" applyBorder="1" applyAlignment="1">
      <alignment horizontal="left" vertical="center" wrapText="1"/>
    </xf>
    <xf numFmtId="0" fontId="0" fillId="6" borderId="25" xfId="0" applyFill="1" applyBorder="1" applyAlignment="1">
      <alignment horizontal="left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706582</xdr:colOff>
      <xdr:row>42</xdr:row>
      <xdr:rowOff>24313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71F32A-F0FB-3B2F-A440-67ED0AA47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00" cy="75888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xxxxxxxxxxxxxxxxxx@xxxxxxxxx.com%20%20donde%20cada%20x%20representa%20un%20digito%20del%200%20al%209%20o%20una%20letra%20de%20la%20%22A%22%20a%20la%20%22Z%22%20y%20debe%20terminas%20en%20.com%20o%20.co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3398C-62AA-4A4A-B9CD-D2552441D379}">
  <dimension ref="A1:B15"/>
  <sheetViews>
    <sheetView workbookViewId="0">
      <selection activeCell="A4" sqref="A4"/>
    </sheetView>
  </sheetViews>
  <sheetFormatPr baseColWidth="10" defaultColWidth="11.44140625" defaultRowHeight="14.4" x14ac:dyDescent="0.3"/>
  <cols>
    <col min="1" max="1" width="12.88671875" bestFit="1" customWidth="1"/>
    <col min="2" max="2" width="52.6640625" bestFit="1" customWidth="1"/>
  </cols>
  <sheetData>
    <row r="1" spans="1:2" x14ac:dyDescent="0.3">
      <c r="A1" s="72" t="s">
        <v>0</v>
      </c>
      <c r="B1" s="73"/>
    </row>
    <row r="2" spans="1:2" x14ac:dyDescent="0.3">
      <c r="A2" s="1" t="s">
        <v>1</v>
      </c>
      <c r="B2" s="2" t="s">
        <v>2</v>
      </c>
    </row>
    <row r="3" spans="1:2" x14ac:dyDescent="0.3">
      <c r="A3" s="3" t="s">
        <v>3</v>
      </c>
      <c r="B3" s="4" t="s">
        <v>4</v>
      </c>
    </row>
    <row r="4" spans="1:2" ht="15" thickBot="1" x14ac:dyDescent="0.35">
      <c r="A4" s="5" t="s">
        <v>5</v>
      </c>
      <c r="B4" s="6" t="s">
        <v>6</v>
      </c>
    </row>
    <row r="6" spans="1:2" x14ac:dyDescent="0.3">
      <c r="A6" s="1" t="s">
        <v>1</v>
      </c>
    </row>
    <row r="7" spans="1:2" x14ac:dyDescent="0.3">
      <c r="A7" s="3" t="s">
        <v>7</v>
      </c>
    </row>
    <row r="8" spans="1:2" ht="15" thickBot="1" x14ac:dyDescent="0.35">
      <c r="A8" s="5" t="s">
        <v>8</v>
      </c>
    </row>
    <row r="9" spans="1:2" x14ac:dyDescent="0.3">
      <c r="A9" s="3" t="s">
        <v>9</v>
      </c>
    </row>
    <row r="10" spans="1:2" ht="15" thickBot="1" x14ac:dyDescent="0.35">
      <c r="A10" s="5" t="s">
        <v>10</v>
      </c>
    </row>
    <row r="11" spans="1:2" x14ac:dyDescent="0.3">
      <c r="A11" s="3" t="s">
        <v>11</v>
      </c>
    </row>
    <row r="12" spans="1:2" ht="15" thickBot="1" x14ac:dyDescent="0.35">
      <c r="A12" s="5" t="s">
        <v>12</v>
      </c>
    </row>
    <row r="13" spans="1:2" x14ac:dyDescent="0.3">
      <c r="A13" s="3" t="s">
        <v>13</v>
      </c>
    </row>
    <row r="14" spans="1:2" ht="15" thickBot="1" x14ac:dyDescent="0.35">
      <c r="A14" s="5" t="s">
        <v>14</v>
      </c>
    </row>
    <row r="15" spans="1:2" ht="15" thickBot="1" x14ac:dyDescent="0.35">
      <c r="A15" s="5" t="s">
        <v>15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6ACC7-AE51-45F9-85DD-14DA0E6BE0E5}">
  <dimension ref="A1"/>
  <sheetViews>
    <sheetView zoomScale="55" zoomScaleNormal="55" workbookViewId="0">
      <selection activeCell="P34" sqref="P34"/>
    </sheetView>
  </sheetViews>
  <sheetFormatPr baseColWidth="10" defaultColWidth="11.5546875"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FA3B-591F-4E21-A008-4E9729EA1949}">
  <dimension ref="A1:D4"/>
  <sheetViews>
    <sheetView workbookViewId="0">
      <selection activeCell="A4" sqref="A4"/>
    </sheetView>
  </sheetViews>
  <sheetFormatPr baseColWidth="10" defaultColWidth="11.44140625" defaultRowHeight="14.4" x14ac:dyDescent="0.3"/>
  <cols>
    <col min="1" max="1" width="21.5546875" style="7" bestFit="1" customWidth="1"/>
    <col min="2" max="2" width="56.33203125" style="7" bestFit="1" customWidth="1"/>
    <col min="3" max="3" width="12.5546875" style="7" bestFit="1" customWidth="1"/>
    <col min="4" max="4" width="16.109375" style="7" bestFit="1" customWidth="1"/>
    <col min="5" max="16384" width="11.44140625" style="7"/>
  </cols>
  <sheetData>
    <row r="1" spans="1:4" x14ac:dyDescent="0.3">
      <c r="A1" s="40" t="s">
        <v>16</v>
      </c>
      <c r="B1" s="74" t="s">
        <v>61</v>
      </c>
      <c r="C1" s="74"/>
      <c r="D1" s="75"/>
    </row>
    <row r="2" spans="1:4" x14ac:dyDescent="0.3">
      <c r="A2" s="8" t="s">
        <v>17</v>
      </c>
      <c r="B2" s="9" t="s">
        <v>2</v>
      </c>
      <c r="C2" s="9" t="s">
        <v>1</v>
      </c>
      <c r="D2" s="10" t="s">
        <v>18</v>
      </c>
    </row>
    <row r="3" spans="1:4" ht="28.8" x14ac:dyDescent="0.3">
      <c r="A3" s="11" t="s">
        <v>19</v>
      </c>
      <c r="B3" s="12" t="s">
        <v>69</v>
      </c>
      <c r="C3" s="13" t="s">
        <v>3</v>
      </c>
      <c r="D3" s="76" t="str">
        <f>$B$1</f>
        <v>Residentes</v>
      </c>
    </row>
    <row r="4" spans="1:4" ht="28.8" x14ac:dyDescent="0.3">
      <c r="A4" s="11" t="s">
        <v>68</v>
      </c>
      <c r="B4" s="12" t="s">
        <v>70</v>
      </c>
      <c r="C4" s="13" t="str">
        <f>Valores!$A$4</f>
        <v>Referenciado</v>
      </c>
      <c r="D4" s="77"/>
    </row>
  </sheetData>
  <mergeCells count="2">
    <mergeCell ref="B1:D1"/>
    <mergeCell ref="D3:D4"/>
  </mergeCells>
  <hyperlinks>
    <hyperlink ref="A4" location="Residente!A1" display="Residente" xr:uid="{DEE5328C-55E4-48B4-9796-7DAF76B3E09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D2E3E-2179-4007-8743-BED3F3BF1317}">
  <dimension ref="A1:U34"/>
  <sheetViews>
    <sheetView tabSelected="1" topLeftCell="I1" zoomScale="65" zoomScaleNormal="90" workbookViewId="0">
      <selection activeCell="Q5" sqref="Q5:Q13"/>
    </sheetView>
  </sheetViews>
  <sheetFormatPr baseColWidth="10" defaultColWidth="11.44140625" defaultRowHeight="14.4" x14ac:dyDescent="0.3"/>
  <cols>
    <col min="1" max="1" width="23.88671875" style="7" bestFit="1" customWidth="1"/>
    <col min="2" max="2" width="18.5546875" style="7" customWidth="1"/>
    <col min="3" max="3" width="18.6640625" style="7" bestFit="1" customWidth="1"/>
    <col min="4" max="4" width="18.88671875" style="7" bestFit="1" customWidth="1"/>
    <col min="5" max="5" width="17.6640625" style="7" customWidth="1"/>
    <col min="6" max="6" width="19.33203125" style="7" bestFit="1" customWidth="1"/>
    <col min="7" max="7" width="15.33203125" style="7" bestFit="1" customWidth="1"/>
    <col min="8" max="8" width="28.5546875" style="7" bestFit="1" customWidth="1"/>
    <col min="9" max="9" width="61.33203125" style="7" customWidth="1"/>
    <col min="10" max="10" width="79.33203125" style="7" bestFit="1" customWidth="1"/>
    <col min="11" max="11" width="18.109375" style="7" bestFit="1" customWidth="1"/>
    <col min="12" max="12" width="19.33203125" style="7" bestFit="1" customWidth="1"/>
    <col min="13" max="13" width="14.44140625" style="7" bestFit="1" customWidth="1"/>
    <col min="14" max="14" width="15.6640625" style="7" bestFit="1" customWidth="1"/>
    <col min="15" max="15" width="12.88671875" style="7" bestFit="1" customWidth="1"/>
    <col min="16" max="16" width="25" style="7" bestFit="1" customWidth="1"/>
    <col min="17" max="17" width="94.44140625" style="7" bestFit="1" customWidth="1"/>
    <col min="18" max="18" width="116.6640625" style="7" customWidth="1"/>
    <col min="19" max="19" width="46.44140625" style="7" bestFit="1" customWidth="1"/>
    <col min="20" max="20" width="50.109375" style="7" bestFit="1" customWidth="1"/>
    <col min="21" max="21" width="66.88671875" style="7" bestFit="1" customWidth="1"/>
    <col min="22" max="22" width="52.33203125" style="7" bestFit="1" customWidth="1"/>
    <col min="23" max="16384" width="11.44140625" style="7"/>
  </cols>
  <sheetData>
    <row r="1" spans="1:21" x14ac:dyDescent="0.3">
      <c r="A1" s="84" t="s">
        <v>20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1:21" x14ac:dyDescent="0.3">
      <c r="A2" s="14" t="s">
        <v>21</v>
      </c>
      <c r="B2" s="85" t="str">
        <f>'Listado Objetos de Dominio'!A3</f>
        <v>Residente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</row>
    <row r="3" spans="1:21" ht="15" thickBot="1" x14ac:dyDescent="0.35">
      <c r="A3" s="14" t="s">
        <v>22</v>
      </c>
      <c r="B3" s="86" t="str">
        <f>'Listado Objetos de Dominio'!B3</f>
        <v>Objeto de dominio que representa a un residente que vive dentro de un inmueble en un conjunto residencial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</row>
    <row r="4" spans="1:21" x14ac:dyDescent="0.3">
      <c r="A4" s="15" t="s">
        <v>23</v>
      </c>
      <c r="B4" s="16" t="s">
        <v>24</v>
      </c>
      <c r="C4" s="16" t="s">
        <v>25</v>
      </c>
      <c r="D4" s="16" t="s">
        <v>26</v>
      </c>
      <c r="E4" s="16" t="s">
        <v>27</v>
      </c>
      <c r="F4" s="16" t="s">
        <v>28</v>
      </c>
      <c r="G4" s="16" t="s">
        <v>29</v>
      </c>
      <c r="H4" s="16" t="s">
        <v>30</v>
      </c>
      <c r="I4" s="16" t="s">
        <v>31</v>
      </c>
      <c r="J4" s="16" t="s">
        <v>32</v>
      </c>
      <c r="K4" s="16" t="s">
        <v>33</v>
      </c>
      <c r="L4" s="16" t="s">
        <v>34</v>
      </c>
      <c r="M4" s="16" t="s">
        <v>35</v>
      </c>
      <c r="N4" s="16" t="s">
        <v>36</v>
      </c>
      <c r="O4" s="16" t="s">
        <v>37</v>
      </c>
      <c r="P4" s="16" t="s">
        <v>38</v>
      </c>
      <c r="Q4" s="17" t="s">
        <v>2</v>
      </c>
      <c r="R4" s="42" t="s">
        <v>98</v>
      </c>
      <c r="S4" s="43" t="str">
        <f>A30</f>
        <v>Buscar</v>
      </c>
      <c r="T4" s="44" t="str">
        <f>A28</f>
        <v>Modificar</v>
      </c>
      <c r="U4" s="45" t="str">
        <f>A31</f>
        <v>Eliminar</v>
      </c>
    </row>
    <row r="5" spans="1:21" ht="27.6" x14ac:dyDescent="0.3">
      <c r="A5" s="18" t="s">
        <v>39</v>
      </c>
      <c r="B5" s="19" t="s">
        <v>9</v>
      </c>
      <c r="C5" s="19">
        <v>32</v>
      </c>
      <c r="D5" s="19">
        <v>32</v>
      </c>
      <c r="E5" s="19"/>
      <c r="F5" s="19"/>
      <c r="G5" s="19"/>
      <c r="H5" s="19"/>
      <c r="I5" s="20" t="s">
        <v>40</v>
      </c>
      <c r="J5" s="19"/>
      <c r="K5" s="21"/>
      <c r="L5" s="22" t="s">
        <v>41</v>
      </c>
      <c r="M5" s="19" t="s">
        <v>42</v>
      </c>
      <c r="N5" s="19" t="s">
        <v>41</v>
      </c>
      <c r="O5" s="19" t="s">
        <v>42</v>
      </c>
      <c r="P5" s="19" t="s">
        <v>41</v>
      </c>
      <c r="Q5" s="20" t="s">
        <v>79</v>
      </c>
      <c r="R5" s="46" t="s">
        <v>99</v>
      </c>
      <c r="S5" s="23" t="s">
        <v>100</v>
      </c>
      <c r="T5" s="24" t="s">
        <v>101</v>
      </c>
      <c r="U5" s="25" t="s">
        <v>99</v>
      </c>
    </row>
    <row r="6" spans="1:21" ht="41.4" x14ac:dyDescent="0.3">
      <c r="A6" s="18" t="s">
        <v>43</v>
      </c>
      <c r="B6" s="19" t="s">
        <v>8</v>
      </c>
      <c r="C6" s="19">
        <v>1</v>
      </c>
      <c r="D6" s="19">
        <v>50</v>
      </c>
      <c r="E6" s="19"/>
      <c r="F6" s="19"/>
      <c r="G6" s="19"/>
      <c r="H6" s="19"/>
      <c r="I6" s="20" t="s">
        <v>44</v>
      </c>
      <c r="J6" s="19"/>
      <c r="K6" s="21" t="s">
        <v>46</v>
      </c>
      <c r="L6" s="22" t="s">
        <v>42</v>
      </c>
      <c r="M6" s="19" t="s">
        <v>42</v>
      </c>
      <c r="N6" s="19" t="s">
        <v>41</v>
      </c>
      <c r="O6" s="19" t="s">
        <v>42</v>
      </c>
      <c r="P6" s="19" t="s">
        <v>42</v>
      </c>
      <c r="Q6" s="20" t="s">
        <v>80</v>
      </c>
      <c r="R6" s="46" t="s">
        <v>99</v>
      </c>
      <c r="S6" s="23" t="s">
        <v>102</v>
      </c>
      <c r="T6" s="24" t="s">
        <v>103</v>
      </c>
      <c r="U6" s="25" t="s">
        <v>104</v>
      </c>
    </row>
    <row r="7" spans="1:21" ht="41.4" x14ac:dyDescent="0.3">
      <c r="A7" s="18" t="s">
        <v>63</v>
      </c>
      <c r="B7" s="19" t="s">
        <v>8</v>
      </c>
      <c r="C7" s="19">
        <v>1</v>
      </c>
      <c r="D7" s="19">
        <v>50</v>
      </c>
      <c r="E7" s="19"/>
      <c r="F7" s="19"/>
      <c r="G7" s="19"/>
      <c r="H7" s="19"/>
      <c r="I7" s="20" t="s">
        <v>44</v>
      </c>
      <c r="J7" s="19"/>
      <c r="K7" s="21" t="s">
        <v>46</v>
      </c>
      <c r="L7" s="22" t="s">
        <v>42</v>
      </c>
      <c r="M7" s="19" t="s">
        <v>42</v>
      </c>
      <c r="N7" s="19" t="s">
        <v>41</v>
      </c>
      <c r="O7" s="19" t="s">
        <v>42</v>
      </c>
      <c r="P7" s="19" t="s">
        <v>42</v>
      </c>
      <c r="Q7" s="20" t="s">
        <v>81</v>
      </c>
      <c r="R7" s="46" t="s">
        <v>99</v>
      </c>
      <c r="S7" s="23" t="s">
        <v>102</v>
      </c>
      <c r="T7" s="24" t="s">
        <v>103</v>
      </c>
      <c r="U7" s="25" t="s">
        <v>104</v>
      </c>
    </row>
    <row r="8" spans="1:21" ht="41.4" x14ac:dyDescent="0.3">
      <c r="A8" s="18" t="s">
        <v>71</v>
      </c>
      <c r="B8" s="19" t="s">
        <v>8</v>
      </c>
      <c r="C8" s="19">
        <v>1</v>
      </c>
      <c r="D8" s="19">
        <v>50</v>
      </c>
      <c r="E8" s="19"/>
      <c r="F8" s="19"/>
      <c r="G8" s="19"/>
      <c r="H8" s="19"/>
      <c r="I8" s="20" t="s">
        <v>44</v>
      </c>
      <c r="J8" s="19"/>
      <c r="K8" s="21" t="s">
        <v>46</v>
      </c>
      <c r="L8" s="22" t="s">
        <v>42</v>
      </c>
      <c r="M8" s="19" t="s">
        <v>42</v>
      </c>
      <c r="N8" s="19" t="s">
        <v>41</v>
      </c>
      <c r="O8" s="19" t="s">
        <v>41</v>
      </c>
      <c r="P8" s="19" t="s">
        <v>42</v>
      </c>
      <c r="Q8" s="20" t="s">
        <v>82</v>
      </c>
      <c r="R8" s="46" t="s">
        <v>99</v>
      </c>
      <c r="S8" s="23" t="s">
        <v>102</v>
      </c>
      <c r="T8" s="24" t="s">
        <v>103</v>
      </c>
      <c r="U8" s="25" t="s">
        <v>104</v>
      </c>
    </row>
    <row r="9" spans="1:21" x14ac:dyDescent="0.3">
      <c r="A9" s="18" t="s">
        <v>77</v>
      </c>
      <c r="B9" s="19" t="s">
        <v>13</v>
      </c>
      <c r="C9" s="19"/>
      <c r="D9" s="19"/>
      <c r="E9" s="19"/>
      <c r="F9" s="19"/>
      <c r="G9" s="19">
        <v>1</v>
      </c>
      <c r="H9" s="19">
        <v>100000000000</v>
      </c>
      <c r="I9" s="20" t="s">
        <v>45</v>
      </c>
      <c r="J9" s="19"/>
      <c r="K9" s="19"/>
      <c r="L9" s="22" t="s">
        <v>42</v>
      </c>
      <c r="M9" s="19" t="s">
        <v>42</v>
      </c>
      <c r="N9" s="19" t="s">
        <v>41</v>
      </c>
      <c r="O9" s="19" t="s">
        <v>41</v>
      </c>
      <c r="P9" s="19" t="s">
        <v>42</v>
      </c>
      <c r="Q9" s="20" t="s">
        <v>83</v>
      </c>
      <c r="R9" s="46" t="s">
        <v>99</v>
      </c>
      <c r="S9" s="23" t="s">
        <v>102</v>
      </c>
      <c r="T9" s="24" t="s">
        <v>103</v>
      </c>
      <c r="U9" s="25" t="s">
        <v>104</v>
      </c>
    </row>
    <row r="10" spans="1:21" x14ac:dyDescent="0.3">
      <c r="A10" s="18" t="s">
        <v>64</v>
      </c>
      <c r="B10" s="19" t="s">
        <v>11</v>
      </c>
      <c r="C10" s="19"/>
      <c r="D10" s="19"/>
      <c r="E10" s="19"/>
      <c r="F10" s="19"/>
      <c r="G10" s="19"/>
      <c r="H10" s="19"/>
      <c r="I10" s="20" t="s">
        <v>67</v>
      </c>
      <c r="J10" s="19"/>
      <c r="K10" s="21"/>
      <c r="L10" s="19" t="s">
        <v>42</v>
      </c>
      <c r="M10" s="19" t="s">
        <v>42</v>
      </c>
      <c r="N10" s="19" t="s">
        <v>41</v>
      </c>
      <c r="O10" s="19" t="s">
        <v>42</v>
      </c>
      <c r="P10" s="19" t="s">
        <v>42</v>
      </c>
      <c r="Q10" s="20" t="s">
        <v>84</v>
      </c>
      <c r="R10" s="46" t="s">
        <v>99</v>
      </c>
      <c r="S10" s="23" t="s">
        <v>102</v>
      </c>
      <c r="T10" s="24" t="s">
        <v>103</v>
      </c>
      <c r="U10" s="25" t="s">
        <v>104</v>
      </c>
    </row>
    <row r="11" spans="1:21" ht="41.4" x14ac:dyDescent="0.3">
      <c r="A11" s="18" t="s">
        <v>78</v>
      </c>
      <c r="B11" s="19" t="s">
        <v>13</v>
      </c>
      <c r="C11" s="19"/>
      <c r="D11" s="19"/>
      <c r="E11" s="19"/>
      <c r="F11" s="19"/>
      <c r="G11" s="19">
        <v>1</v>
      </c>
      <c r="H11" s="19">
        <v>10000000</v>
      </c>
      <c r="I11" s="20" t="s">
        <v>45</v>
      </c>
      <c r="J11" s="19"/>
      <c r="K11" s="21" t="s">
        <v>46</v>
      </c>
      <c r="L11" s="22" t="s">
        <v>42</v>
      </c>
      <c r="M11" s="19" t="s">
        <v>42</v>
      </c>
      <c r="N11" s="19" t="s">
        <v>41</v>
      </c>
      <c r="O11" s="19" t="s">
        <v>41</v>
      </c>
      <c r="P11" s="19" t="s">
        <v>42</v>
      </c>
      <c r="Q11" s="20" t="s">
        <v>85</v>
      </c>
      <c r="R11" s="46" t="s">
        <v>99</v>
      </c>
      <c r="S11" s="23" t="s">
        <v>102</v>
      </c>
      <c r="T11" s="24" t="s">
        <v>103</v>
      </c>
      <c r="U11" s="25" t="s">
        <v>104</v>
      </c>
    </row>
    <row r="12" spans="1:21" ht="41.4" x14ac:dyDescent="0.3">
      <c r="A12" s="18" t="s">
        <v>93</v>
      </c>
      <c r="B12" s="19" t="s">
        <v>9</v>
      </c>
      <c r="C12" s="19">
        <v>6</v>
      </c>
      <c r="D12" s="19">
        <v>50</v>
      </c>
      <c r="E12" s="19"/>
      <c r="F12" s="19"/>
      <c r="G12" s="19"/>
      <c r="H12" s="19"/>
      <c r="I12" s="20" t="s">
        <v>62</v>
      </c>
      <c r="J12" s="19"/>
      <c r="K12" s="21" t="s">
        <v>46</v>
      </c>
      <c r="L12" s="22" t="s">
        <v>42</v>
      </c>
      <c r="M12" s="19" t="s">
        <v>42</v>
      </c>
      <c r="N12" s="19" t="s">
        <v>41</v>
      </c>
      <c r="O12" s="19" t="s">
        <v>42</v>
      </c>
      <c r="P12" s="19" t="s">
        <v>42</v>
      </c>
      <c r="Q12" s="20" t="s">
        <v>86</v>
      </c>
      <c r="R12" s="46" t="s">
        <v>99</v>
      </c>
      <c r="S12" s="23" t="s">
        <v>152</v>
      </c>
      <c r="T12" s="24" t="s">
        <v>103</v>
      </c>
      <c r="U12" s="25" t="s">
        <v>104</v>
      </c>
    </row>
    <row r="13" spans="1:21" ht="69" x14ac:dyDescent="0.3">
      <c r="A13" s="18" t="s">
        <v>72</v>
      </c>
      <c r="B13" s="19" t="s">
        <v>9</v>
      </c>
      <c r="C13" s="19">
        <v>8</v>
      </c>
      <c r="D13" s="19">
        <v>30</v>
      </c>
      <c r="E13" s="19"/>
      <c r="F13" s="19"/>
      <c r="G13" s="19"/>
      <c r="H13" s="19"/>
      <c r="I13" s="20" t="s">
        <v>74</v>
      </c>
      <c r="J13" s="19"/>
      <c r="K13" s="21" t="s">
        <v>75</v>
      </c>
      <c r="L13" s="22" t="s">
        <v>42</v>
      </c>
      <c r="M13" s="19" t="s">
        <v>42</v>
      </c>
      <c r="N13" s="19" t="s">
        <v>41</v>
      </c>
      <c r="O13" s="19" t="s">
        <v>41</v>
      </c>
      <c r="P13" s="19" t="s">
        <v>42</v>
      </c>
      <c r="Q13" s="20" t="s">
        <v>87</v>
      </c>
      <c r="R13" s="46" t="s">
        <v>99</v>
      </c>
      <c r="S13" s="23" t="s">
        <v>152</v>
      </c>
      <c r="T13" s="24" t="s">
        <v>103</v>
      </c>
      <c r="U13" s="25" t="s">
        <v>104</v>
      </c>
    </row>
    <row r="14" spans="1:21" x14ac:dyDescent="0.3">
      <c r="A14" s="18" t="s">
        <v>65</v>
      </c>
      <c r="B14" s="19" t="s">
        <v>68</v>
      </c>
      <c r="C14" s="19"/>
      <c r="D14" s="19"/>
      <c r="E14" s="19"/>
      <c r="F14" s="19"/>
      <c r="G14" s="19"/>
      <c r="H14" s="19"/>
      <c r="I14" s="20" t="s">
        <v>73</v>
      </c>
      <c r="J14" s="19"/>
      <c r="K14" s="21"/>
      <c r="L14" s="22" t="s">
        <v>41</v>
      </c>
      <c r="M14" s="19" t="s">
        <v>42</v>
      </c>
      <c r="N14" s="19" t="s">
        <v>41</v>
      </c>
      <c r="O14" s="19" t="s">
        <v>42</v>
      </c>
      <c r="P14" s="19" t="s">
        <v>42</v>
      </c>
      <c r="Q14" s="20" t="s">
        <v>66</v>
      </c>
      <c r="R14" s="46" t="s">
        <v>99</v>
      </c>
      <c r="S14" s="31" t="s">
        <v>151</v>
      </c>
      <c r="T14" s="24" t="s">
        <v>103</v>
      </c>
      <c r="U14" s="25" t="s">
        <v>104</v>
      </c>
    </row>
    <row r="16" spans="1:21" x14ac:dyDescent="0.3">
      <c r="A16" s="79" t="s">
        <v>88</v>
      </c>
      <c r="B16" s="79"/>
      <c r="C16" s="79"/>
      <c r="E16" s="79" t="s">
        <v>90</v>
      </c>
      <c r="F16" s="79"/>
      <c r="G16" s="79"/>
      <c r="I16" s="79" t="s">
        <v>47</v>
      </c>
      <c r="J16" s="79"/>
      <c r="K16" s="79"/>
    </row>
    <row r="17" spans="1:19" x14ac:dyDescent="0.3">
      <c r="A17" s="26" t="s">
        <v>48</v>
      </c>
      <c r="B17" s="26" t="s">
        <v>2</v>
      </c>
      <c r="C17" s="26" t="s">
        <v>49</v>
      </c>
      <c r="E17" s="26" t="s">
        <v>48</v>
      </c>
      <c r="F17" s="26" t="s">
        <v>2</v>
      </c>
      <c r="G17" s="26" t="s">
        <v>49</v>
      </c>
      <c r="I17" s="26" t="s">
        <v>48</v>
      </c>
      <c r="J17" s="26" t="s">
        <v>2</v>
      </c>
      <c r="K17" s="26" t="s">
        <v>49</v>
      </c>
    </row>
    <row r="18" spans="1:19" ht="25.2" customHeight="1" x14ac:dyDescent="0.3">
      <c r="A18" s="80" t="s">
        <v>50</v>
      </c>
      <c r="B18" s="81" t="s">
        <v>89</v>
      </c>
      <c r="C18" s="78" t="s">
        <v>71</v>
      </c>
      <c r="E18" s="81" t="s">
        <v>94</v>
      </c>
      <c r="F18" s="81" t="s">
        <v>91</v>
      </c>
      <c r="G18" s="78" t="s">
        <v>78</v>
      </c>
      <c r="H18" s="39"/>
      <c r="I18" s="80" t="s">
        <v>95</v>
      </c>
      <c r="J18" s="81" t="s">
        <v>92</v>
      </c>
      <c r="K18" s="78" t="s">
        <v>93</v>
      </c>
    </row>
    <row r="19" spans="1:19" ht="25.2" customHeight="1" x14ac:dyDescent="0.3">
      <c r="A19" s="80"/>
      <c r="B19" s="81"/>
      <c r="C19" s="78"/>
      <c r="E19" s="81"/>
      <c r="F19" s="81"/>
      <c r="G19" s="78"/>
      <c r="H19" s="39"/>
      <c r="I19" s="80"/>
      <c r="J19" s="81"/>
      <c r="K19" s="78"/>
    </row>
    <row r="20" spans="1:19" ht="25.2" customHeight="1" x14ac:dyDescent="0.3">
      <c r="A20" s="80"/>
      <c r="B20" s="81"/>
      <c r="C20" s="78" t="s">
        <v>77</v>
      </c>
      <c r="E20" s="81"/>
      <c r="F20" s="81"/>
      <c r="G20" s="78"/>
      <c r="I20" s="80"/>
      <c r="J20" s="81"/>
      <c r="K20" s="78"/>
    </row>
    <row r="21" spans="1:19" ht="25.2" customHeight="1" x14ac:dyDescent="0.3">
      <c r="A21" s="80"/>
      <c r="B21" s="81"/>
      <c r="C21" s="78"/>
      <c r="E21" s="81"/>
      <c r="F21" s="81"/>
      <c r="G21" s="78"/>
      <c r="I21" s="80"/>
      <c r="J21" s="81"/>
      <c r="K21" s="78"/>
    </row>
    <row r="22" spans="1:19" ht="15" thickBot="1" x14ac:dyDescent="0.35"/>
    <row r="23" spans="1:19" ht="15.6" thickTop="1" thickBot="1" x14ac:dyDescent="0.35">
      <c r="A23" s="83" t="s">
        <v>51</v>
      </c>
      <c r="B23" s="83"/>
      <c r="C23" s="83" t="s">
        <v>2</v>
      </c>
      <c r="D23" s="83"/>
      <c r="E23" s="83"/>
      <c r="F23" s="83"/>
      <c r="G23" s="83"/>
      <c r="H23" s="83" t="s">
        <v>52</v>
      </c>
      <c r="I23" s="83"/>
      <c r="J23" s="83"/>
      <c r="K23" s="83" t="s">
        <v>53</v>
      </c>
      <c r="L23" s="83"/>
      <c r="M23" s="83"/>
      <c r="N23" s="83"/>
      <c r="O23" s="83"/>
      <c r="P23" s="83" t="s">
        <v>54</v>
      </c>
      <c r="Q23" s="83"/>
      <c r="R23" s="83" t="s">
        <v>55</v>
      </c>
      <c r="S23" s="83"/>
    </row>
    <row r="24" spans="1:19" ht="15.6" thickTop="1" thickBot="1" x14ac:dyDescent="0.35">
      <c r="A24" s="83"/>
      <c r="B24" s="83"/>
      <c r="C24" s="83"/>
      <c r="D24" s="83"/>
      <c r="E24" s="83"/>
      <c r="F24" s="83"/>
      <c r="G24" s="83"/>
      <c r="H24" s="57" t="s">
        <v>56</v>
      </c>
      <c r="I24" s="56" t="s">
        <v>57</v>
      </c>
      <c r="J24" s="56" t="s">
        <v>2</v>
      </c>
      <c r="K24" s="56" t="s">
        <v>24</v>
      </c>
      <c r="L24" s="83" t="s">
        <v>2</v>
      </c>
      <c r="M24" s="83"/>
      <c r="N24" s="83"/>
      <c r="O24" s="83"/>
      <c r="P24" s="56" t="s">
        <v>58</v>
      </c>
      <c r="Q24" s="56" t="s">
        <v>2</v>
      </c>
      <c r="R24" s="56" t="s">
        <v>59</v>
      </c>
      <c r="S24" s="56" t="s">
        <v>60</v>
      </c>
    </row>
    <row r="25" spans="1:19" ht="30" thickTop="1" thickBot="1" x14ac:dyDescent="0.35">
      <c r="A25" s="87" t="s">
        <v>98</v>
      </c>
      <c r="B25" s="87"/>
      <c r="C25" s="88" t="s">
        <v>135</v>
      </c>
      <c r="D25" s="88"/>
      <c r="E25" s="88"/>
      <c r="F25" s="88"/>
      <c r="G25" s="88"/>
      <c r="H25" s="88" t="str">
        <f>_xlfn.CONCAT("datos",B2)</f>
        <v>datosResidente</v>
      </c>
      <c r="I25" s="89" t="str">
        <f>B2</f>
        <v>Residente</v>
      </c>
      <c r="J25" s="82" t="str">
        <f>_xlfn.CONCAT("Corresponde al objeto que internamente contiene los datos necesarios para crear un nuevo ",B2,)</f>
        <v>Corresponde al objeto que internamente contiene los datos necesarios para crear un nuevo Residente</v>
      </c>
      <c r="K25" s="58"/>
      <c r="L25" s="82"/>
      <c r="M25" s="82"/>
      <c r="N25" s="82"/>
      <c r="O25" s="82"/>
      <c r="P25" s="59" t="s">
        <v>141</v>
      </c>
      <c r="Q25" s="60" t="s">
        <v>146</v>
      </c>
      <c r="R25" s="60" t="s">
        <v>108</v>
      </c>
      <c r="S25" s="60" t="s">
        <v>109</v>
      </c>
    </row>
    <row r="26" spans="1:19" ht="30" thickTop="1" thickBot="1" x14ac:dyDescent="0.35">
      <c r="A26" s="87"/>
      <c r="B26" s="87"/>
      <c r="C26" s="88"/>
      <c r="D26" s="88"/>
      <c r="E26" s="88"/>
      <c r="F26" s="88"/>
      <c r="G26" s="88"/>
      <c r="H26" s="88"/>
      <c r="I26" s="89"/>
      <c r="J26" s="82"/>
      <c r="K26" s="58"/>
      <c r="L26" s="82"/>
      <c r="M26" s="82"/>
      <c r="N26" s="82"/>
      <c r="O26" s="82"/>
      <c r="P26" s="59" t="s">
        <v>142</v>
      </c>
      <c r="Q26" s="60" t="s">
        <v>175</v>
      </c>
      <c r="R26" s="60" t="s">
        <v>177</v>
      </c>
      <c r="S26" s="60" t="s">
        <v>109</v>
      </c>
    </row>
    <row r="27" spans="1:19" ht="30" thickTop="1" thickBot="1" x14ac:dyDescent="0.35">
      <c r="A27" s="87"/>
      <c r="B27" s="87"/>
      <c r="C27" s="88"/>
      <c r="D27" s="88"/>
      <c r="E27" s="88"/>
      <c r="F27" s="88"/>
      <c r="G27" s="88"/>
      <c r="H27" s="88"/>
      <c r="I27" s="89"/>
      <c r="J27" s="82"/>
      <c r="K27" s="58"/>
      <c r="L27" s="82"/>
      <c r="M27" s="82"/>
      <c r="N27" s="82"/>
      <c r="O27" s="82"/>
      <c r="P27" s="59" t="s">
        <v>143</v>
      </c>
      <c r="Q27" s="60" t="s">
        <v>176</v>
      </c>
      <c r="R27" s="60" t="s">
        <v>178</v>
      </c>
      <c r="S27" s="60" t="s">
        <v>147</v>
      </c>
    </row>
    <row r="28" spans="1:19" ht="30" thickTop="1" thickBot="1" x14ac:dyDescent="0.35">
      <c r="A28" s="91" t="s">
        <v>127</v>
      </c>
      <c r="B28" s="91"/>
      <c r="C28" s="90" t="s">
        <v>137</v>
      </c>
      <c r="D28" s="90"/>
      <c r="E28" s="90"/>
      <c r="F28" s="90"/>
      <c r="G28" s="90"/>
      <c r="H28" s="90" t="str">
        <f>_xlfn.CONCAT("datos",B2)</f>
        <v>datosResidente</v>
      </c>
      <c r="I28" s="91" t="str">
        <f>B2</f>
        <v>Residente</v>
      </c>
      <c r="J28" s="90" t="str">
        <f>_xlfn.CONCAT("Corresponde a los datos que se van a modificar del ",B2)</f>
        <v>Corresponde a los datos que se van a modificar del Residente</v>
      </c>
      <c r="K28" s="61"/>
      <c r="L28" s="90"/>
      <c r="M28" s="90"/>
      <c r="N28" s="90"/>
      <c r="O28" s="90"/>
      <c r="P28" s="62" t="s">
        <v>144</v>
      </c>
      <c r="Q28" s="62" t="s">
        <v>179</v>
      </c>
      <c r="R28" s="62" t="s">
        <v>181</v>
      </c>
      <c r="S28" s="62" t="s">
        <v>182</v>
      </c>
    </row>
    <row r="29" spans="1:19" ht="30" customHeight="1" thickTop="1" thickBot="1" x14ac:dyDescent="0.35">
      <c r="A29" s="91"/>
      <c r="B29" s="91"/>
      <c r="C29" s="90"/>
      <c r="D29" s="90"/>
      <c r="E29" s="90"/>
      <c r="F29" s="90"/>
      <c r="G29" s="90"/>
      <c r="H29" s="90"/>
      <c r="I29" s="91"/>
      <c r="J29" s="90"/>
      <c r="K29" s="61"/>
      <c r="L29" s="90"/>
      <c r="M29" s="90"/>
      <c r="N29" s="90"/>
      <c r="O29" s="90"/>
      <c r="P29" s="62" t="s">
        <v>145</v>
      </c>
      <c r="Q29" s="62" t="s">
        <v>180</v>
      </c>
      <c r="R29" s="62" t="s">
        <v>183</v>
      </c>
      <c r="S29" s="62" t="s">
        <v>184</v>
      </c>
    </row>
    <row r="30" spans="1:19" ht="69.599999999999994" customHeight="1" thickTop="1" thickBot="1" x14ac:dyDescent="0.35">
      <c r="A30" s="95" t="s">
        <v>122</v>
      </c>
      <c r="B30" s="95"/>
      <c r="C30" s="96" t="s">
        <v>136</v>
      </c>
      <c r="D30" s="96"/>
      <c r="E30" s="96"/>
      <c r="F30" s="96"/>
      <c r="G30" s="96"/>
      <c r="H30" s="63" t="str">
        <f>_xlfn.CONCAT("datos",B2)</f>
        <v>datosResidente</v>
      </c>
      <c r="I30" s="64" t="str">
        <f>B2</f>
        <v>Residente</v>
      </c>
      <c r="J30" s="63" t="str">
        <f>_xlfn.CONCAT("Corresponde a un objeto que contiene los filtros de consulta de un  ",B2," de un conjunto residencial.")</f>
        <v>Corresponde a un objeto que contiene los filtros de consulta de un  Residente de un conjunto residencial.</v>
      </c>
      <c r="K30" s="65" t="s">
        <v>140</v>
      </c>
      <c r="L30" s="97" t="s">
        <v>153</v>
      </c>
      <c r="M30" s="97"/>
      <c r="N30" s="97"/>
      <c r="O30" s="97"/>
      <c r="P30" s="66" t="s">
        <v>148</v>
      </c>
      <c r="Q30" s="67" t="s">
        <v>126</v>
      </c>
      <c r="R30" s="67" t="s">
        <v>108</v>
      </c>
      <c r="S30" s="67" t="s">
        <v>109</v>
      </c>
    </row>
    <row r="31" spans="1:19" ht="30" thickTop="1" thickBot="1" x14ac:dyDescent="0.35">
      <c r="A31" s="92" t="s">
        <v>133</v>
      </c>
      <c r="B31" s="92"/>
      <c r="C31" s="93" t="s">
        <v>138</v>
      </c>
      <c r="D31" s="93"/>
      <c r="E31" s="93"/>
      <c r="F31" s="93"/>
      <c r="G31" s="93"/>
      <c r="H31" s="68" t="s">
        <v>39</v>
      </c>
      <c r="I31" s="69" t="s">
        <v>9</v>
      </c>
      <c r="J31" s="68" t="str">
        <f>_xlfn.CONCAT("Corresponde al identificador del ",$B$2,"  que se quiere dar de baja.")</f>
        <v>Corresponde al identificador del Residente  que se quiere dar de baja.</v>
      </c>
      <c r="K31" s="70"/>
      <c r="L31" s="94"/>
      <c r="M31" s="94"/>
      <c r="N31" s="94"/>
      <c r="O31" s="94"/>
      <c r="P31" s="69" t="s">
        <v>149</v>
      </c>
      <c r="Q31" s="71" t="s">
        <v>130</v>
      </c>
      <c r="R31" s="71" t="s">
        <v>150</v>
      </c>
      <c r="S31" s="71" t="s">
        <v>132</v>
      </c>
    </row>
    <row r="32" spans="1:19" ht="30" thickTop="1" thickBot="1" x14ac:dyDescent="0.35">
      <c r="A32" s="92" t="s">
        <v>133</v>
      </c>
      <c r="B32" s="92"/>
      <c r="C32" s="93" t="s">
        <v>138</v>
      </c>
      <c r="D32" s="93"/>
      <c r="E32" s="93"/>
      <c r="F32" s="93"/>
      <c r="G32" s="93"/>
      <c r="H32" s="68" t="s">
        <v>39</v>
      </c>
      <c r="I32" s="69" t="s">
        <v>9</v>
      </c>
      <c r="J32" s="68" t="str">
        <f>_xlfn.CONCAT("Corresponde al identificador del ",$B$2,"  que se quiere dar de baja.")</f>
        <v>Corresponde al identificador del Residente  que se quiere dar de baja.</v>
      </c>
      <c r="K32" s="70"/>
      <c r="L32" s="94"/>
      <c r="M32" s="94"/>
      <c r="N32" s="94"/>
      <c r="O32" s="94"/>
      <c r="P32" s="69" t="s">
        <v>149</v>
      </c>
      <c r="Q32" s="71" t="s">
        <v>130</v>
      </c>
      <c r="R32" s="71" t="s">
        <v>150</v>
      </c>
      <c r="S32" s="71" t="s">
        <v>132</v>
      </c>
    </row>
    <row r="33" spans="1:19" ht="30" thickTop="1" thickBot="1" x14ac:dyDescent="0.35">
      <c r="A33" s="92" t="s">
        <v>133</v>
      </c>
      <c r="B33" s="92"/>
      <c r="C33" s="93" t="s">
        <v>138</v>
      </c>
      <c r="D33" s="93"/>
      <c r="E33" s="93"/>
      <c r="F33" s="93"/>
      <c r="G33" s="93"/>
      <c r="H33" s="68" t="s">
        <v>39</v>
      </c>
      <c r="I33" s="69" t="s">
        <v>9</v>
      </c>
      <c r="J33" s="68" t="str">
        <f>_xlfn.CONCAT("Corresponde al identificador del ",$B$2,"  que se quiere dar de baja.")</f>
        <v>Corresponde al identificador del Residente  que se quiere dar de baja.</v>
      </c>
      <c r="K33" s="70"/>
      <c r="L33" s="94"/>
      <c r="M33" s="94"/>
      <c r="N33" s="94"/>
      <c r="O33" s="94"/>
      <c r="P33" s="69" t="s">
        <v>149</v>
      </c>
      <c r="Q33" s="71" t="s">
        <v>130</v>
      </c>
      <c r="R33" s="71" t="s">
        <v>150</v>
      </c>
      <c r="S33" s="71" t="s">
        <v>132</v>
      </c>
    </row>
    <row r="34" spans="1:19" ht="15" thickTop="1" x14ac:dyDescent="0.3"/>
  </sheetData>
  <mergeCells count="48">
    <mergeCell ref="A32:B32"/>
    <mergeCell ref="C32:G32"/>
    <mergeCell ref="L32:O32"/>
    <mergeCell ref="A33:B33"/>
    <mergeCell ref="C33:G33"/>
    <mergeCell ref="L33:O33"/>
    <mergeCell ref="A31:B31"/>
    <mergeCell ref="C31:G31"/>
    <mergeCell ref="L31:O31"/>
    <mergeCell ref="A30:B30"/>
    <mergeCell ref="C30:G30"/>
    <mergeCell ref="L30:O30"/>
    <mergeCell ref="L28:O28"/>
    <mergeCell ref="A28:B29"/>
    <mergeCell ref="C28:G29"/>
    <mergeCell ref="H28:H29"/>
    <mergeCell ref="I28:I29"/>
    <mergeCell ref="J28:J29"/>
    <mergeCell ref="L29:O29"/>
    <mergeCell ref="A25:B27"/>
    <mergeCell ref="C25:G27"/>
    <mergeCell ref="H25:H27"/>
    <mergeCell ref="I25:I27"/>
    <mergeCell ref="J25:J27"/>
    <mergeCell ref="L25:O27"/>
    <mergeCell ref="R23:S23"/>
    <mergeCell ref="L24:O24"/>
    <mergeCell ref="A1:Q1"/>
    <mergeCell ref="B2:Q2"/>
    <mergeCell ref="B3:Q3"/>
    <mergeCell ref="A16:C16"/>
    <mergeCell ref="A23:B24"/>
    <mergeCell ref="C23:G24"/>
    <mergeCell ref="H23:J23"/>
    <mergeCell ref="K23:O23"/>
    <mergeCell ref="P23:Q23"/>
    <mergeCell ref="A18:A21"/>
    <mergeCell ref="B18:B21"/>
    <mergeCell ref="E16:G16"/>
    <mergeCell ref="E18:E21"/>
    <mergeCell ref="C20:C21"/>
    <mergeCell ref="C18:C19"/>
    <mergeCell ref="G18:G21"/>
    <mergeCell ref="I16:K16"/>
    <mergeCell ref="I18:I21"/>
    <mergeCell ref="K18:K21"/>
    <mergeCell ref="F18:F21"/>
    <mergeCell ref="J18:J21"/>
  </mergeCells>
  <phoneticPr fontId="9" type="noConversion"/>
  <hyperlinks>
    <hyperlink ref="A1" location="'Objetos de Dominio'!A1" display="Volver al inicio" xr:uid="{475DC609-B6D5-4D2D-A170-5000DA801120}"/>
    <hyperlink ref="A1:Q1" location="'Listado Objetos de Dominio'!A1" display="&lt;-Volver al inicio" xr:uid="{2CEFD9A1-7256-4CC0-A14B-05D2869A5C81}"/>
    <hyperlink ref="C20" location="Residente!A9" display="numeroDocumento" xr:uid="{44C56CF5-7141-4A21-B9BC-308CD3AA36CE}"/>
    <hyperlink ref="I12" r:id="rId1" xr:uid="{DB94A35C-D1D9-4791-A75D-DEEACCA61A6F}"/>
    <hyperlink ref="C18" location="Residente!A8" display="tipoDocumento" xr:uid="{54E136A1-DFED-46E9-8B2D-B46752A571BA}"/>
    <hyperlink ref="G18:G21" location="Residente!A11" display="numeroContacto" xr:uid="{822FB009-8280-411A-ABA3-9ECC828AF1D7}"/>
    <hyperlink ref="K18:K21" location="Residente!A12" display="correoElectronico" xr:uid="{6CEB801B-74BD-4ACB-ADC9-1B88A785F9B9}"/>
    <hyperlink ref="I31" location="'Tipo Relación Institución'!A6" display="'Tipo Relación Institución'!A6" xr:uid="{3F332D65-B743-4C33-8DFA-4072F68B2DBB}"/>
    <hyperlink ref="A30:B30" location="Residente!S4" display="Buscar" xr:uid="{ACDDD86B-BF7F-4A39-9668-C238CE60E1B4}"/>
    <hyperlink ref="A31:B31" location="Residente!U4" display="Eliminar" xr:uid="{7CDD3DA3-7476-4A95-8876-943199D63EA3}"/>
    <hyperlink ref="I25:I27" location="Residente!B2" display="Residente!B2" xr:uid="{301FED57-2D15-44DF-AD91-BD00442B7061}"/>
    <hyperlink ref="I30" location="Residente!B2" display="Residente!B2" xr:uid="{5A3119CE-AD4B-4D57-88D8-9772937B9648}"/>
    <hyperlink ref="I28" location="Residente!B2" display="Residente!B2" xr:uid="{7ABB1CDF-640A-4D6A-A4C0-E14A73161812}"/>
    <hyperlink ref="A25:B27" location="Residente!R4" display="Registrar" xr:uid="{96202AE8-D265-4411-B317-D49A89DD6979}"/>
    <hyperlink ref="T4" location="Residente!A30" display="Residente!A30" xr:uid="{5D56BF46-0783-42E4-BCBA-42373B2D338D}"/>
    <hyperlink ref="U4" location="Residente!A31" display="Residente!A31" xr:uid="{1BF78138-4A40-4FEB-9F14-D5CFABAA28FF}"/>
    <hyperlink ref="R4" location="Residente!A25" display="Registrar" xr:uid="{BC21DCA5-C5C3-43EB-BDAE-3B943C74E69A}"/>
    <hyperlink ref="S4" location="Residente!A29" display="Residente!A29" xr:uid="{50909EC4-1171-4363-B829-6AA98DC22077}"/>
    <hyperlink ref="I32" location="'Tipo Relación Institución'!A6" display="'Tipo Relación Institución'!A6" xr:uid="{0F4FF1C1-0C1C-4525-9FE9-1330D88A37C4}"/>
    <hyperlink ref="A32:B32" location="Residente!U4" display="Eliminar" xr:uid="{32563D65-E107-4EFB-83C8-D8E6320247E2}"/>
    <hyperlink ref="I33" location="'Tipo Relación Institución'!A6" display="'Tipo Relación Institución'!A6" xr:uid="{7397B662-9026-4912-9AC6-AEFC024D11F4}"/>
    <hyperlink ref="A33:B33" location="Residente!U4" display="Eliminar" xr:uid="{2505D7D1-3BE2-464C-B2E7-DF45F3062414}"/>
  </hyperlinks>
  <pageMargins left="0.7" right="0.7" top="0.75" bottom="0.75" header="0.3" footer="0.3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5B62202-AA6E-4226-A274-06625CA33AAC}">
          <x14:formula1>
            <xm:f>Valores!$A$7:$A$15</xm:f>
          </x14:formula1>
          <xm:sqref>B5:B13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1583B-F698-4020-97FF-1414BFE2C5EB}">
  <dimension ref="A1:U37"/>
  <sheetViews>
    <sheetView zoomScale="88" workbookViewId="0">
      <selection activeCell="B18" sqref="B18:B27"/>
    </sheetView>
  </sheetViews>
  <sheetFormatPr baseColWidth="10" defaultColWidth="11.44140625" defaultRowHeight="14.4" x14ac:dyDescent="0.3"/>
  <cols>
    <col min="1" max="1" width="28.33203125" style="7" bestFit="1" customWidth="1"/>
    <col min="2" max="2" width="18.5546875" style="7" customWidth="1"/>
    <col min="3" max="3" width="33.33203125" style="7" bestFit="1" customWidth="1"/>
    <col min="4" max="4" width="18.88671875" style="7" bestFit="1" customWidth="1"/>
    <col min="5" max="5" width="11.5546875" style="7" bestFit="1" customWidth="1"/>
    <col min="6" max="6" width="19.33203125" style="7" bestFit="1" customWidth="1"/>
    <col min="7" max="7" width="15.33203125" style="7" bestFit="1" customWidth="1"/>
    <col min="8" max="8" width="28.5546875" style="7" bestFit="1" customWidth="1"/>
    <col min="9" max="9" width="79.44140625" style="7" bestFit="1" customWidth="1"/>
    <col min="10" max="10" width="79.33203125" style="7" bestFit="1" customWidth="1"/>
    <col min="11" max="11" width="18.109375" style="7" bestFit="1" customWidth="1"/>
    <col min="12" max="12" width="19.33203125" style="7" bestFit="1" customWidth="1"/>
    <col min="13" max="13" width="14.44140625" style="7" bestFit="1" customWidth="1"/>
    <col min="14" max="14" width="15.6640625" style="7" bestFit="1" customWidth="1"/>
    <col min="15" max="15" width="12.88671875" style="7" bestFit="1" customWidth="1"/>
    <col min="16" max="16" width="25" style="7" bestFit="1" customWidth="1"/>
    <col min="17" max="17" width="94.44140625" style="7" bestFit="1" customWidth="1"/>
    <col min="18" max="18" width="132.5546875" style="7" bestFit="1" customWidth="1"/>
    <col min="19" max="19" width="46.44140625" style="7" bestFit="1" customWidth="1"/>
    <col min="20" max="20" width="50.109375" style="7" bestFit="1" customWidth="1"/>
    <col min="21" max="21" width="66.88671875" style="7" bestFit="1" customWidth="1"/>
    <col min="22" max="22" width="52.33203125" style="7" bestFit="1" customWidth="1"/>
    <col min="23" max="16384" width="11.44140625" style="7"/>
  </cols>
  <sheetData>
    <row r="1" spans="1:21" x14ac:dyDescent="0.3">
      <c r="A1" s="84" t="s">
        <v>20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1:21" x14ac:dyDescent="0.3">
      <c r="A2" s="14" t="s">
        <v>21</v>
      </c>
      <c r="B2" s="85" t="str">
        <f>'Listado Objetos de Dominio'!A4</f>
        <v>Inmueble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</row>
    <row r="3" spans="1:21" ht="15" thickBot="1" x14ac:dyDescent="0.35">
      <c r="A3" s="14" t="s">
        <v>22</v>
      </c>
      <c r="B3" s="86" t="str">
        <f>'Listado Objetos de Dominio'!B4</f>
        <v xml:space="preserve">Objeto de dominio que representa el inmueble donde vive el residente del conjunto residencial. 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</row>
    <row r="4" spans="1:21" x14ac:dyDescent="0.3">
      <c r="A4" s="15" t="s">
        <v>23</v>
      </c>
      <c r="B4" s="16" t="s">
        <v>24</v>
      </c>
      <c r="C4" s="16" t="s">
        <v>25</v>
      </c>
      <c r="D4" s="16" t="s">
        <v>26</v>
      </c>
      <c r="E4" s="16" t="s">
        <v>27</v>
      </c>
      <c r="F4" s="16" t="s">
        <v>28</v>
      </c>
      <c r="G4" s="16" t="s">
        <v>29</v>
      </c>
      <c r="H4" s="16" t="s">
        <v>30</v>
      </c>
      <c r="I4" s="16" t="s">
        <v>31</v>
      </c>
      <c r="J4" s="16" t="s">
        <v>32</v>
      </c>
      <c r="K4" s="16" t="s">
        <v>33</v>
      </c>
      <c r="L4" s="16" t="s">
        <v>34</v>
      </c>
      <c r="M4" s="16" t="s">
        <v>35</v>
      </c>
      <c r="N4" s="16" t="s">
        <v>36</v>
      </c>
      <c r="O4" s="16" t="s">
        <v>37</v>
      </c>
      <c r="P4" s="16" t="s">
        <v>38</v>
      </c>
      <c r="Q4" s="17" t="s">
        <v>2</v>
      </c>
      <c r="R4" s="42" t="s">
        <v>98</v>
      </c>
      <c r="S4" s="43" t="str">
        <f>A35</f>
        <v>Buscar</v>
      </c>
      <c r="T4" s="44" t="str">
        <f>A36</f>
        <v>Modificar</v>
      </c>
      <c r="U4" s="45" t="str">
        <f>A37</f>
        <v>Eliminar</v>
      </c>
    </row>
    <row r="5" spans="1:21" ht="27.6" x14ac:dyDescent="0.3">
      <c r="A5" s="18" t="s">
        <v>154</v>
      </c>
      <c r="B5" s="19" t="s">
        <v>9</v>
      </c>
      <c r="C5" s="19">
        <v>32</v>
      </c>
      <c r="D5" s="19">
        <v>32</v>
      </c>
      <c r="E5" s="19"/>
      <c r="F5" s="19"/>
      <c r="G5" s="19"/>
      <c r="H5" s="19"/>
      <c r="I5" s="20" t="s">
        <v>40</v>
      </c>
      <c r="J5" s="19"/>
      <c r="K5" s="21"/>
      <c r="L5" s="22" t="s">
        <v>41</v>
      </c>
      <c r="M5" s="19" t="s">
        <v>42</v>
      </c>
      <c r="N5" s="19" t="s">
        <v>41</v>
      </c>
      <c r="O5" s="19" t="s">
        <v>42</v>
      </c>
      <c r="P5" s="19" t="s">
        <v>41</v>
      </c>
      <c r="Q5" s="20" t="s">
        <v>162</v>
      </c>
      <c r="R5" s="46" t="s">
        <v>99</v>
      </c>
      <c r="S5" s="23" t="s">
        <v>100</v>
      </c>
      <c r="T5" s="24" t="s">
        <v>101</v>
      </c>
      <c r="U5" s="25" t="s">
        <v>99</v>
      </c>
    </row>
    <row r="6" spans="1:21" ht="41.4" x14ac:dyDescent="0.3">
      <c r="A6" s="18" t="s">
        <v>155</v>
      </c>
      <c r="B6" s="19" t="s">
        <v>8</v>
      </c>
      <c r="C6" s="19">
        <v>3</v>
      </c>
      <c r="D6" s="19">
        <v>50</v>
      </c>
      <c r="E6" s="19"/>
      <c r="F6" s="19"/>
      <c r="G6" s="19"/>
      <c r="H6" s="19"/>
      <c r="I6" s="20" t="s">
        <v>44</v>
      </c>
      <c r="J6" s="19"/>
      <c r="K6" s="21" t="s">
        <v>163</v>
      </c>
      <c r="L6" s="22" t="s">
        <v>42</v>
      </c>
      <c r="M6" s="19" t="s">
        <v>42</v>
      </c>
      <c r="N6" s="19" t="s">
        <v>41</v>
      </c>
      <c r="O6" s="19" t="s">
        <v>42</v>
      </c>
      <c r="P6" s="19" t="s">
        <v>42</v>
      </c>
      <c r="Q6" s="20" t="s">
        <v>164</v>
      </c>
      <c r="R6" s="46" t="s">
        <v>99</v>
      </c>
      <c r="S6" s="23" t="s">
        <v>102</v>
      </c>
      <c r="T6" s="24" t="s">
        <v>103</v>
      </c>
      <c r="U6" s="25" t="s">
        <v>104</v>
      </c>
    </row>
    <row r="7" spans="1:21" ht="27.6" x14ac:dyDescent="0.3">
      <c r="A7" s="18" t="s">
        <v>167</v>
      </c>
      <c r="B7" s="19" t="s">
        <v>9</v>
      </c>
      <c r="C7" s="19">
        <v>32</v>
      </c>
      <c r="D7" s="19">
        <v>32</v>
      </c>
      <c r="E7" s="19"/>
      <c r="F7" s="19"/>
      <c r="G7" s="19"/>
      <c r="H7" s="19"/>
      <c r="I7" s="20" t="s">
        <v>40</v>
      </c>
      <c r="J7" s="19"/>
      <c r="K7" s="21"/>
      <c r="L7" s="22" t="s">
        <v>41</v>
      </c>
      <c r="M7" s="19" t="s">
        <v>42</v>
      </c>
      <c r="N7" s="19" t="s">
        <v>41</v>
      </c>
      <c r="O7" s="19" t="s">
        <v>42</v>
      </c>
      <c r="P7" s="19" t="s">
        <v>41</v>
      </c>
      <c r="Q7" s="20" t="s">
        <v>171</v>
      </c>
      <c r="R7" s="46" t="s">
        <v>99</v>
      </c>
      <c r="S7" s="23" t="s">
        <v>100</v>
      </c>
      <c r="T7" s="24" t="s">
        <v>101</v>
      </c>
      <c r="U7" s="25" t="s">
        <v>99</v>
      </c>
    </row>
    <row r="8" spans="1:21" ht="41.4" x14ac:dyDescent="0.3">
      <c r="A8" s="18" t="s">
        <v>168</v>
      </c>
      <c r="B8" s="19" t="s">
        <v>8</v>
      </c>
      <c r="C8" s="19">
        <v>1</v>
      </c>
      <c r="D8" s="19">
        <v>50</v>
      </c>
      <c r="E8" s="19"/>
      <c r="F8" s="19"/>
      <c r="G8" s="19"/>
      <c r="H8" s="19"/>
      <c r="I8" s="20"/>
      <c r="J8" s="19"/>
      <c r="K8" s="21" t="s">
        <v>163</v>
      </c>
      <c r="L8" s="22" t="s">
        <v>42</v>
      </c>
      <c r="M8" s="19" t="s">
        <v>42</v>
      </c>
      <c r="N8" s="19" t="s">
        <v>41</v>
      </c>
      <c r="O8" s="19" t="s">
        <v>42</v>
      </c>
      <c r="P8" s="19" t="s">
        <v>42</v>
      </c>
      <c r="Q8" s="20" t="s">
        <v>166</v>
      </c>
      <c r="R8" s="46" t="s">
        <v>99</v>
      </c>
      <c r="S8" s="23" t="s">
        <v>102</v>
      </c>
      <c r="T8" s="24" t="s">
        <v>103</v>
      </c>
      <c r="U8" s="25" t="s">
        <v>104</v>
      </c>
    </row>
    <row r="9" spans="1:21" ht="27.6" x14ac:dyDescent="0.3">
      <c r="A9" s="18" t="s">
        <v>169</v>
      </c>
      <c r="B9" s="19" t="s">
        <v>9</v>
      </c>
      <c r="C9" s="19">
        <v>32</v>
      </c>
      <c r="D9" s="19">
        <v>32</v>
      </c>
      <c r="E9" s="19"/>
      <c r="F9" s="19"/>
      <c r="G9" s="19"/>
      <c r="H9" s="19"/>
      <c r="I9" s="20" t="s">
        <v>40</v>
      </c>
      <c r="J9" s="19"/>
      <c r="K9" s="21"/>
      <c r="L9" s="22" t="s">
        <v>41</v>
      </c>
      <c r="M9" s="19" t="s">
        <v>42</v>
      </c>
      <c r="N9" s="19" t="s">
        <v>41</v>
      </c>
      <c r="O9" s="19" t="s">
        <v>42</v>
      </c>
      <c r="P9" s="19" t="s">
        <v>41</v>
      </c>
      <c r="Q9" s="20" t="s">
        <v>171</v>
      </c>
      <c r="R9" s="46" t="s">
        <v>99</v>
      </c>
      <c r="S9" s="23" t="s">
        <v>100</v>
      </c>
      <c r="T9" s="24" t="s">
        <v>101</v>
      </c>
      <c r="U9" s="25" t="s">
        <v>99</v>
      </c>
    </row>
    <row r="10" spans="1:21" ht="41.4" x14ac:dyDescent="0.3">
      <c r="A10" s="18" t="s">
        <v>170</v>
      </c>
      <c r="B10" s="19" t="s">
        <v>13</v>
      </c>
      <c r="C10" s="19">
        <v>1</v>
      </c>
      <c r="D10" s="19">
        <v>20</v>
      </c>
      <c r="E10" s="19"/>
      <c r="F10" s="19"/>
      <c r="G10" s="19">
        <v>1</v>
      </c>
      <c r="H10" s="19">
        <v>200</v>
      </c>
      <c r="I10" s="20" t="s">
        <v>172</v>
      </c>
      <c r="J10" s="19"/>
      <c r="K10" s="21" t="s">
        <v>173</v>
      </c>
      <c r="L10" s="22" t="s">
        <v>42</v>
      </c>
      <c r="M10" s="19" t="s">
        <v>42</v>
      </c>
      <c r="N10" s="19" t="s">
        <v>41</v>
      </c>
      <c r="O10" s="19" t="s">
        <v>42</v>
      </c>
      <c r="P10" s="19" t="s">
        <v>42</v>
      </c>
      <c r="Q10" s="20" t="s">
        <v>174</v>
      </c>
      <c r="R10" s="46" t="s">
        <v>99</v>
      </c>
      <c r="S10" s="23" t="s">
        <v>102</v>
      </c>
      <c r="T10" s="24" t="s">
        <v>103</v>
      </c>
      <c r="U10" s="25" t="s">
        <v>104</v>
      </c>
    </row>
    <row r="11" spans="1:21" x14ac:dyDescent="0.3">
      <c r="A11" s="18" t="s">
        <v>156</v>
      </c>
      <c r="B11" s="19" t="s">
        <v>9</v>
      </c>
      <c r="C11" s="19">
        <v>32</v>
      </c>
      <c r="D11" s="19">
        <v>32</v>
      </c>
      <c r="E11" s="19"/>
      <c r="F11" s="19"/>
      <c r="G11" s="19"/>
      <c r="H11" s="19"/>
      <c r="I11" s="19" t="s">
        <v>40</v>
      </c>
      <c r="J11" s="19"/>
      <c r="K11" s="21"/>
      <c r="L11" s="19" t="s">
        <v>41</v>
      </c>
      <c r="M11" s="19" t="s">
        <v>42</v>
      </c>
      <c r="N11" s="19" t="s">
        <v>41</v>
      </c>
      <c r="O11" s="19" t="s">
        <v>42</v>
      </c>
      <c r="P11" s="19" t="s">
        <v>41</v>
      </c>
      <c r="Q11" s="20" t="s">
        <v>165</v>
      </c>
      <c r="R11" s="46" t="s">
        <v>99</v>
      </c>
      <c r="S11" s="23" t="s">
        <v>100</v>
      </c>
      <c r="T11" s="24" t="s">
        <v>101</v>
      </c>
      <c r="U11" s="25" t="s">
        <v>99</v>
      </c>
    </row>
    <row r="12" spans="1:21" ht="41.4" x14ac:dyDescent="0.3">
      <c r="A12" s="18" t="s">
        <v>157</v>
      </c>
      <c r="B12" s="19" t="s">
        <v>8</v>
      </c>
      <c r="C12" s="19">
        <v>1</v>
      </c>
      <c r="D12" s="19">
        <v>50</v>
      </c>
      <c r="E12" s="19"/>
      <c r="F12" s="19"/>
      <c r="G12" s="19"/>
      <c r="H12" s="19"/>
      <c r="I12" s="19"/>
      <c r="J12" s="19"/>
      <c r="K12" s="21" t="s">
        <v>163</v>
      </c>
      <c r="L12" s="19" t="s">
        <v>42</v>
      </c>
      <c r="M12" s="19" t="s">
        <v>42</v>
      </c>
      <c r="N12" s="19" t="s">
        <v>41</v>
      </c>
      <c r="O12" s="19" t="s">
        <v>42</v>
      </c>
      <c r="P12" s="19" t="s">
        <v>42</v>
      </c>
      <c r="Q12" s="20" t="s">
        <v>166</v>
      </c>
      <c r="R12" s="46" t="s">
        <v>99</v>
      </c>
      <c r="S12" s="23" t="s">
        <v>102</v>
      </c>
      <c r="T12" s="24" t="s">
        <v>103</v>
      </c>
      <c r="U12" s="25" t="s">
        <v>104</v>
      </c>
    </row>
    <row r="13" spans="1:21" x14ac:dyDescent="0.3">
      <c r="A13" s="18" t="s">
        <v>158</v>
      </c>
      <c r="B13" s="19" t="s">
        <v>9</v>
      </c>
      <c r="C13" s="19">
        <v>32</v>
      </c>
      <c r="D13" s="19">
        <v>32</v>
      </c>
      <c r="E13" s="19"/>
      <c r="F13" s="19"/>
      <c r="G13" s="19"/>
      <c r="H13" s="19"/>
      <c r="I13" s="19" t="s">
        <v>40</v>
      </c>
      <c r="J13" s="19"/>
      <c r="K13" s="21"/>
      <c r="L13" s="19" t="s">
        <v>41</v>
      </c>
      <c r="M13" s="19" t="s">
        <v>42</v>
      </c>
      <c r="N13" s="19" t="s">
        <v>41</v>
      </c>
      <c r="O13" s="19" t="s">
        <v>42</v>
      </c>
      <c r="P13" s="19" t="s">
        <v>41</v>
      </c>
      <c r="Q13" s="20" t="s">
        <v>96</v>
      </c>
      <c r="R13" s="46" t="s">
        <v>99</v>
      </c>
      <c r="S13" s="23" t="s">
        <v>100</v>
      </c>
      <c r="T13" s="24" t="s">
        <v>101</v>
      </c>
      <c r="U13" s="25" t="s">
        <v>99</v>
      </c>
    </row>
    <row r="14" spans="1:21" x14ac:dyDescent="0.3">
      <c r="A14" s="18" t="s">
        <v>159</v>
      </c>
      <c r="B14" s="19" t="s">
        <v>76</v>
      </c>
      <c r="C14" s="19">
        <v>1</v>
      </c>
      <c r="D14" s="19">
        <v>50</v>
      </c>
      <c r="E14" s="19"/>
      <c r="F14" s="19"/>
      <c r="G14" s="19"/>
      <c r="H14" s="19"/>
      <c r="I14" s="20"/>
      <c r="J14" s="19"/>
      <c r="K14" s="21"/>
      <c r="L14" s="22" t="s">
        <v>42</v>
      </c>
      <c r="M14" s="19" t="s">
        <v>42</v>
      </c>
      <c r="N14" s="19" t="s">
        <v>41</v>
      </c>
      <c r="O14" s="19" t="s">
        <v>42</v>
      </c>
      <c r="P14" s="19" t="s">
        <v>42</v>
      </c>
      <c r="Q14" s="20" t="s">
        <v>97</v>
      </c>
      <c r="R14" s="46" t="s">
        <v>99</v>
      </c>
      <c r="S14" s="31" t="s">
        <v>102</v>
      </c>
      <c r="T14" s="24" t="s">
        <v>103</v>
      </c>
      <c r="U14" s="25" t="s">
        <v>104</v>
      </c>
    </row>
    <row r="15" spans="1:21" ht="23.4" customHeight="1" x14ac:dyDescent="0.3"/>
    <row r="16" spans="1:21" ht="51" customHeight="1" x14ac:dyDescent="0.3">
      <c r="A16" s="79" t="s">
        <v>47</v>
      </c>
      <c r="B16" s="79"/>
      <c r="C16" s="79"/>
    </row>
    <row r="17" spans="1:19" x14ac:dyDescent="0.3">
      <c r="A17" s="26" t="s">
        <v>48</v>
      </c>
      <c r="B17" s="26" t="s">
        <v>2</v>
      </c>
      <c r="C17" s="26" t="s">
        <v>49</v>
      </c>
    </row>
    <row r="18" spans="1:19" ht="31.95" customHeight="1" x14ac:dyDescent="0.3">
      <c r="A18" s="81" t="s">
        <v>160</v>
      </c>
      <c r="B18" s="81" t="s">
        <v>161</v>
      </c>
      <c r="C18" s="55" t="str">
        <f t="shared" ref="C18:C27" si="0">A5</f>
        <v>identificadorConjuntoResidencial</v>
      </c>
    </row>
    <row r="19" spans="1:19" ht="31.95" customHeight="1" x14ac:dyDescent="0.3">
      <c r="A19" s="81"/>
      <c r="B19" s="81"/>
      <c r="C19" s="55" t="str">
        <f t="shared" si="0"/>
        <v>nombreConjuntoResidencial</v>
      </c>
    </row>
    <row r="20" spans="1:19" ht="31.95" customHeight="1" x14ac:dyDescent="0.3">
      <c r="A20" s="81"/>
      <c r="B20" s="81"/>
      <c r="C20" s="55" t="str">
        <f t="shared" si="0"/>
        <v>identificadorTipoZonaInmueble</v>
      </c>
    </row>
    <row r="21" spans="1:19" ht="31.95" customHeight="1" x14ac:dyDescent="0.3">
      <c r="A21" s="81"/>
      <c r="B21" s="81"/>
      <c r="C21" s="55" t="str">
        <f t="shared" si="0"/>
        <v>nombreTipoZonaInmueble</v>
      </c>
    </row>
    <row r="22" spans="1:19" ht="31.95" customHeight="1" x14ac:dyDescent="0.3">
      <c r="A22" s="81"/>
      <c r="B22" s="81"/>
      <c r="C22" s="55" t="str">
        <f t="shared" si="0"/>
        <v>identificadorZonaInmueble</v>
      </c>
    </row>
    <row r="23" spans="1:19" ht="31.95" customHeight="1" x14ac:dyDescent="0.3">
      <c r="A23" s="81"/>
      <c r="B23" s="81"/>
      <c r="C23" s="55" t="str">
        <f t="shared" si="0"/>
        <v>numeroZonaInmuebleZonaInmueble</v>
      </c>
    </row>
    <row r="24" spans="1:19" ht="31.95" customHeight="1" x14ac:dyDescent="0.3">
      <c r="A24" s="81"/>
      <c r="B24" s="81"/>
      <c r="C24" s="55" t="str">
        <f t="shared" si="0"/>
        <v>identificadorTipoInmueble</v>
      </c>
    </row>
    <row r="25" spans="1:19" ht="31.95" customHeight="1" x14ac:dyDescent="0.3">
      <c r="A25" s="81"/>
      <c r="B25" s="81"/>
      <c r="C25" s="55" t="str">
        <f t="shared" si="0"/>
        <v>nombreTipoInmueble</v>
      </c>
    </row>
    <row r="26" spans="1:19" ht="31.95" customHeight="1" x14ac:dyDescent="0.3">
      <c r="A26" s="81"/>
      <c r="B26" s="81"/>
      <c r="C26" s="38" t="str">
        <f t="shared" si="0"/>
        <v>identificadorInmueble</v>
      </c>
    </row>
    <row r="27" spans="1:19" ht="31.95" customHeight="1" x14ac:dyDescent="0.3">
      <c r="A27" s="81"/>
      <c r="B27" s="81"/>
      <c r="C27" s="38" t="str">
        <f t="shared" si="0"/>
        <v>numeroViviendaInmueble</v>
      </c>
    </row>
    <row r="28" spans="1:19" ht="15" thickBot="1" x14ac:dyDescent="0.35"/>
    <row r="29" spans="1:19" x14ac:dyDescent="0.3">
      <c r="A29" s="126" t="s">
        <v>51</v>
      </c>
      <c r="B29" s="127"/>
      <c r="C29" s="130" t="s">
        <v>2</v>
      </c>
      <c r="D29" s="131"/>
      <c r="E29" s="131"/>
      <c r="F29" s="131"/>
      <c r="G29" s="127"/>
      <c r="H29" s="120" t="s">
        <v>52</v>
      </c>
      <c r="I29" s="134"/>
      <c r="J29" s="121"/>
      <c r="K29" s="120" t="s">
        <v>53</v>
      </c>
      <c r="L29" s="134"/>
      <c r="M29" s="134"/>
      <c r="N29" s="134"/>
      <c r="O29" s="121"/>
      <c r="P29" s="120" t="s">
        <v>54</v>
      </c>
      <c r="Q29" s="121"/>
      <c r="R29" s="120" t="s">
        <v>55</v>
      </c>
      <c r="S29" s="122"/>
    </row>
    <row r="30" spans="1:19" x14ac:dyDescent="0.3">
      <c r="A30" s="128"/>
      <c r="B30" s="129"/>
      <c r="C30" s="132"/>
      <c r="D30" s="133"/>
      <c r="E30" s="133"/>
      <c r="F30" s="133"/>
      <c r="G30" s="129"/>
      <c r="H30" s="47" t="s">
        <v>56</v>
      </c>
      <c r="I30" s="27" t="s">
        <v>57</v>
      </c>
      <c r="J30" s="27" t="s">
        <v>2</v>
      </c>
      <c r="K30" s="27" t="s">
        <v>24</v>
      </c>
      <c r="L30" s="123" t="s">
        <v>2</v>
      </c>
      <c r="M30" s="124"/>
      <c r="N30" s="124"/>
      <c r="O30" s="125"/>
      <c r="P30" s="27" t="s">
        <v>58</v>
      </c>
      <c r="Q30" s="27" t="s">
        <v>2</v>
      </c>
      <c r="R30" s="27" t="s">
        <v>59</v>
      </c>
      <c r="S30" s="28" t="s">
        <v>60</v>
      </c>
    </row>
    <row r="31" spans="1:19" ht="28.8" x14ac:dyDescent="0.3">
      <c r="A31" s="104" t="s">
        <v>98</v>
      </c>
      <c r="B31" s="105"/>
      <c r="C31" s="108" t="s">
        <v>105</v>
      </c>
      <c r="D31" s="109"/>
      <c r="E31" s="109"/>
      <c r="F31" s="109"/>
      <c r="G31" s="110"/>
      <c r="H31" s="114" t="str">
        <f>_xlfn.CONCAT("datos",B2)</f>
        <v>datosInmueble</v>
      </c>
      <c r="I31" s="116" t="str">
        <f>B2</f>
        <v>Inmueble</v>
      </c>
      <c r="J31" s="118" t="str">
        <f>_xlfn.CONCAT("Corresponde al objeto que internamente contiene los datos necesarios para crear una nueva ",B2,)</f>
        <v>Corresponde al objeto que internamente contiene los datos necesarios para crear una nueva Inmueble</v>
      </c>
      <c r="K31" s="48"/>
      <c r="L31" s="98"/>
      <c r="M31" s="99"/>
      <c r="N31" s="99"/>
      <c r="O31" s="100"/>
      <c r="P31" s="13" t="s">
        <v>106</v>
      </c>
      <c r="Q31" s="12" t="s">
        <v>107</v>
      </c>
      <c r="R31" s="12" t="s">
        <v>108</v>
      </c>
      <c r="S31" s="49" t="s">
        <v>109</v>
      </c>
    </row>
    <row r="32" spans="1:19" ht="28.8" x14ac:dyDescent="0.3">
      <c r="A32" s="106"/>
      <c r="B32" s="107"/>
      <c r="C32" s="111"/>
      <c r="D32" s="112"/>
      <c r="E32" s="112"/>
      <c r="F32" s="112"/>
      <c r="G32" s="113"/>
      <c r="H32" s="115"/>
      <c r="I32" s="117"/>
      <c r="J32" s="119"/>
      <c r="K32" s="50"/>
      <c r="L32" s="101"/>
      <c r="M32" s="102"/>
      <c r="N32" s="102"/>
      <c r="O32" s="103"/>
      <c r="P32" s="13" t="s">
        <v>110</v>
      </c>
      <c r="Q32" s="12" t="s">
        <v>111</v>
      </c>
      <c r="R32" s="12" t="s">
        <v>112</v>
      </c>
      <c r="S32" s="49" t="s">
        <v>113</v>
      </c>
    </row>
    <row r="33" spans="1:19" ht="28.8" x14ac:dyDescent="0.3">
      <c r="A33" s="106"/>
      <c r="B33" s="107"/>
      <c r="C33" s="111"/>
      <c r="D33" s="112"/>
      <c r="E33" s="112"/>
      <c r="F33" s="112"/>
      <c r="G33" s="113"/>
      <c r="H33" s="115"/>
      <c r="I33" s="117"/>
      <c r="J33" s="119"/>
      <c r="K33" s="50"/>
      <c r="L33" s="101"/>
      <c r="M33" s="102"/>
      <c r="N33" s="102"/>
      <c r="O33" s="103"/>
      <c r="P33" s="13" t="s">
        <v>114</v>
      </c>
      <c r="Q33" s="12" t="s">
        <v>115</v>
      </c>
      <c r="R33" s="12" t="s">
        <v>116</v>
      </c>
      <c r="S33" s="49" t="s">
        <v>117</v>
      </c>
    </row>
    <row r="34" spans="1:19" ht="28.8" x14ac:dyDescent="0.3">
      <c r="A34" s="106"/>
      <c r="B34" s="107"/>
      <c r="C34" s="111"/>
      <c r="D34" s="112"/>
      <c r="E34" s="112"/>
      <c r="F34" s="112"/>
      <c r="G34" s="113"/>
      <c r="H34" s="115"/>
      <c r="I34" s="117"/>
      <c r="J34" s="119"/>
      <c r="K34" s="50"/>
      <c r="L34" s="101"/>
      <c r="M34" s="102"/>
      <c r="N34" s="102"/>
      <c r="O34" s="103"/>
      <c r="P34" s="13" t="s">
        <v>118</v>
      </c>
      <c r="Q34" s="12" t="s">
        <v>119</v>
      </c>
      <c r="R34" s="12" t="s">
        <v>120</v>
      </c>
      <c r="S34" s="49" t="s">
        <v>121</v>
      </c>
    </row>
    <row r="35" spans="1:19" ht="71.400000000000006" customHeight="1" x14ac:dyDescent="0.3">
      <c r="A35" s="143" t="s">
        <v>122</v>
      </c>
      <c r="B35" s="144"/>
      <c r="C35" s="145" t="s">
        <v>123</v>
      </c>
      <c r="D35" s="146"/>
      <c r="E35" s="146"/>
      <c r="F35" s="146"/>
      <c r="G35" s="147"/>
      <c r="H35" s="30" t="str">
        <f>_xlfn.CONCAT("datos",B2)</f>
        <v>datosInmueble</v>
      </c>
      <c r="I35" s="29" t="str">
        <f>B2</f>
        <v>Inmueble</v>
      </c>
      <c r="J35" s="30" t="str">
        <f>_xlfn.CONCAT("Corresponde a un objeto que contiene los filtros de consulta de ",B2," de un conjunto residencial.")</f>
        <v>Corresponde a un objeto que contiene los filtros de consulta de Inmueble de un conjunto residencial.</v>
      </c>
      <c r="K35" s="41" t="s">
        <v>139</v>
      </c>
      <c r="L35" s="148" t="s">
        <v>124</v>
      </c>
      <c r="M35" s="149"/>
      <c r="N35" s="149"/>
      <c r="O35" s="150"/>
      <c r="P35" s="23" t="s">
        <v>125</v>
      </c>
      <c r="Q35" s="31" t="s">
        <v>126</v>
      </c>
      <c r="R35" s="31" t="s">
        <v>108</v>
      </c>
      <c r="S35" s="51" t="s">
        <v>109</v>
      </c>
    </row>
    <row r="36" spans="1:19" ht="28.8" x14ac:dyDescent="0.3">
      <c r="A36" s="151" t="s">
        <v>127</v>
      </c>
      <c r="B36" s="152"/>
      <c r="C36" s="153" t="s">
        <v>128</v>
      </c>
      <c r="D36" s="154"/>
      <c r="E36" s="154"/>
      <c r="F36" s="154"/>
      <c r="G36" s="155"/>
      <c r="H36" s="32" t="str">
        <f>_xlfn.CONCAT("datos",B2)</f>
        <v>datosInmueble</v>
      </c>
      <c r="I36" s="33" t="str">
        <f>B2</f>
        <v>Inmueble</v>
      </c>
      <c r="J36" s="32" t="str">
        <f>_xlfn.CONCAT("Corresponde a los datos que se van a modificar de la ",B2)</f>
        <v>Corresponde a los datos que se van a modificar de la Inmueble</v>
      </c>
      <c r="K36" s="34"/>
      <c r="L36" s="156"/>
      <c r="M36" s="157"/>
      <c r="N36" s="157"/>
      <c r="O36" s="158"/>
      <c r="P36" s="52" t="s">
        <v>129</v>
      </c>
      <c r="Q36" s="53" t="s">
        <v>130</v>
      </c>
      <c r="R36" s="53" t="s">
        <v>131</v>
      </c>
      <c r="S36" s="54" t="s">
        <v>132</v>
      </c>
    </row>
    <row r="37" spans="1:19" ht="28.8" x14ac:dyDescent="0.3">
      <c r="A37" s="135" t="s">
        <v>133</v>
      </c>
      <c r="B37" s="136"/>
      <c r="C37" s="137" t="s">
        <v>134</v>
      </c>
      <c r="D37" s="138"/>
      <c r="E37" s="138"/>
      <c r="F37" s="138"/>
      <c r="G37" s="139"/>
      <c r="H37" s="35" t="s">
        <v>39</v>
      </c>
      <c r="I37" s="25" t="s">
        <v>9</v>
      </c>
      <c r="J37" s="35" t="str">
        <f>_xlfn.CONCAT("Corresponde al identificador de la ",$B$2,"  que se quiere dar de baja.")</f>
        <v>Corresponde al identificador de la Inmueble  que se quiere dar de baja.</v>
      </c>
      <c r="K37" s="36"/>
      <c r="L37" s="140"/>
      <c r="M37" s="141"/>
      <c r="N37" s="141"/>
      <c r="O37" s="142"/>
      <c r="P37" s="25" t="s">
        <v>129</v>
      </c>
      <c r="Q37" s="37" t="s">
        <v>130</v>
      </c>
      <c r="R37" s="37" t="s">
        <v>131</v>
      </c>
      <c r="S37" s="37" t="s">
        <v>132</v>
      </c>
    </row>
  </sheetData>
  <mergeCells count="28">
    <mergeCell ref="A37:B37"/>
    <mergeCell ref="C37:G37"/>
    <mergeCell ref="L37:O37"/>
    <mergeCell ref="A35:B35"/>
    <mergeCell ref="C35:G35"/>
    <mergeCell ref="L35:O35"/>
    <mergeCell ref="A36:B36"/>
    <mergeCell ref="C36:G36"/>
    <mergeCell ref="L36:O36"/>
    <mergeCell ref="A1:Q1"/>
    <mergeCell ref="B2:Q2"/>
    <mergeCell ref="B3:Q3"/>
    <mergeCell ref="A16:C16"/>
    <mergeCell ref="A18:A27"/>
    <mergeCell ref="B18:B27"/>
    <mergeCell ref="P29:Q29"/>
    <mergeCell ref="R29:S29"/>
    <mergeCell ref="L30:O30"/>
    <mergeCell ref="A29:B30"/>
    <mergeCell ref="C29:G30"/>
    <mergeCell ref="H29:J29"/>
    <mergeCell ref="K29:O29"/>
    <mergeCell ref="L31:O34"/>
    <mergeCell ref="A31:B34"/>
    <mergeCell ref="C31:G34"/>
    <mergeCell ref="H31:H34"/>
    <mergeCell ref="I31:I34"/>
    <mergeCell ref="J31:J34"/>
  </mergeCells>
  <hyperlinks>
    <hyperlink ref="A1" location="'Objetos de Dominio'!A1" display="Volver al inicio" xr:uid="{4C6EA31D-5DD1-42F9-A469-ED5E8CAE0643}"/>
    <hyperlink ref="A1:Q1" location="'Listado Objetos de Dominio'!A1" display="&lt;-Volver al inicio" xr:uid="{68117D6F-3D68-4E53-BDF0-9E2FE69EC82B}"/>
    <hyperlink ref="C27" location="Inmueble!A8" display="ZonaInmueble" xr:uid="{DB88250A-52A4-46B9-B641-D80D50936AFD}"/>
    <hyperlink ref="C26" location="Inmueble!A7" display="numeroVivienda" xr:uid="{7C3EDB2F-89BF-494E-90D1-85A6C4411548}"/>
    <hyperlink ref="C18" location="Inmueble!A6" display="tipoInmueble" xr:uid="{67F5311F-E219-4D10-B08A-00D1F447C35E}"/>
    <hyperlink ref="T4" location="Inmueble!A24" display="Inmueble!A24" xr:uid="{6B85A766-FE98-4E0D-BA4E-307AEF32087B}"/>
    <hyperlink ref="U4" location="Inmueble!A25" display="Inmueble!A25" xr:uid="{0B31C64C-F40D-42E8-B7BB-6F3B28DBA4A9}"/>
    <hyperlink ref="R4" location="Inmueble!A19" display="Registrar" xr:uid="{9CF36FA9-4736-4461-8BC4-6D63275BBB43}"/>
    <hyperlink ref="S4" location="Inmueble!A23" display="Inmueble!A23" xr:uid="{94FC0D47-78FA-4F07-B047-30A115B0B09E}"/>
    <hyperlink ref="I37" location="'Tipo Relación Institución'!A6" display="'Tipo Relación Institución'!A6" xr:uid="{925BA423-E6A3-4809-A55F-9065ACAC2FA4}"/>
    <hyperlink ref="A35:B35" location="Residente!S4" display="Buscar" xr:uid="{72BC4EC8-4009-4DCA-90CA-DEE2898E8D75}"/>
    <hyperlink ref="A37:B37" location="Inmueble!U4" display="Eliminar" xr:uid="{4A22F145-C969-4341-A06C-4D62FAFE1576}"/>
    <hyperlink ref="A36:B36" location="Inmueble!T4" display="Modificar" xr:uid="{F4439766-D1F3-420B-880B-FDCC00EC4131}"/>
    <hyperlink ref="I31:I34" location="Inmueble!B2" display="Inmueble!B2" xr:uid="{1A8EFC3A-7FF4-4C4F-AA40-7EC617613E26}"/>
    <hyperlink ref="I35" location="Inmueble!B2" display="Inmueble!B2" xr:uid="{9D627493-51C8-4318-9769-3833CF76727A}"/>
    <hyperlink ref="I36" location="Inmueble!B2" display="Inmueble!B2" xr:uid="{FF551B30-67B6-4F91-BA1F-55BDE6DB061F}"/>
    <hyperlink ref="A31:B34" location="Inmueble!R4" display="Registrar" xr:uid="{9E1F0932-C85E-43D7-9C30-7B740107C30B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Valores</vt:lpstr>
      <vt:lpstr>Modelo Dominio anémico contexto</vt:lpstr>
      <vt:lpstr>Listado Objetos de Dominio</vt:lpstr>
      <vt:lpstr>Residente</vt:lpstr>
      <vt:lpstr>Inmueble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Avendano Duque</dc:creator>
  <cp:lastModifiedBy>Jose Zuluaga</cp:lastModifiedBy>
  <dcterms:created xsi:type="dcterms:W3CDTF">2024-08-27T03:28:47Z</dcterms:created>
  <dcterms:modified xsi:type="dcterms:W3CDTF">2024-11-04T07:40:19Z</dcterms:modified>
</cp:coreProperties>
</file>