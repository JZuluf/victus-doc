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andre\Documents\DOO 2024 BD\DOO\victus-doc\Doo-Doc\Nueva Version Victus\Event Storming\"/>
    </mc:Choice>
  </mc:AlternateContent>
  <xr:revisionPtr revIDLastSave="0" documentId="13_ncr:1_{F1603E49-3769-4C21-873F-A2FE737090B3}" xr6:coauthVersionLast="47" xr6:coauthVersionMax="47" xr10:uidLastSave="{00000000-0000-0000-0000-000000000000}"/>
  <bookViews>
    <workbookView xWindow="19095" yWindow="0" windowWidth="19410" windowHeight="20985" activeTab="3" xr2:uid="{36012E7C-B3F4-482B-AC16-7CCB81B9AE88}"/>
  </bookViews>
  <sheets>
    <sheet name="Flujo de eventos en el tiempo" sheetId="61" r:id="rId1"/>
    <sheet name="Listado Objetos de Dominio" sheetId="67" r:id="rId2"/>
    <sheet name="Inmueble" sheetId="24" r:id="rId3"/>
    <sheet name="Residente" sheetId="69" r:id="rId4"/>
  </sheets>
  <externalReferences>
    <externalReference r:id="rId5"/>
  </externalReferences>
  <definedNames>
    <definedName name="_xlnm._FilterDatabase" localSheetId="1" hidden="1">'Listado Objetos de Dominio'!$A$3:$B$6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4" l="1"/>
  <c r="B2" i="24"/>
  <c r="C17" i="69"/>
  <c r="C15" i="69"/>
  <c r="C13" i="69"/>
  <c r="B13" i="69"/>
  <c r="B2" i="69"/>
  <c r="J13" i="69"/>
  <c r="B3" i="69"/>
  <c r="J10" i="69" l="1"/>
  <c r="L7" i="69"/>
  <c r="M13" i="69"/>
  <c r="M10" i="69"/>
  <c r="B12" i="69"/>
  <c r="B7" i="69"/>
  <c r="C12" i="69"/>
  <c r="C7" i="69"/>
  <c r="D7" i="69"/>
  <c r="J12" i="69"/>
  <c r="J7" i="69"/>
  <c r="M12" i="69"/>
  <c r="M8" i="69"/>
  <c r="M9" i="69"/>
  <c r="B10" i="69"/>
  <c r="C10" i="69"/>
  <c r="L10" i="69"/>
  <c r="D4" i="67" l="1"/>
</calcChain>
</file>

<file path=xl/sharedStrings.xml><?xml version="1.0" encoding="utf-8"?>
<sst xmlns="http://schemas.openxmlformats.org/spreadsheetml/2006/main" count="164" uniqueCount="115">
  <si>
    <t>Descripción</t>
  </si>
  <si>
    <t>&lt;-Volver al inicio</t>
  </si>
  <si>
    <t>Objeto de Dominio:</t>
  </si>
  <si>
    <t>Descripción:</t>
  </si>
  <si>
    <t>Nombre</t>
  </si>
  <si>
    <t>Actor</t>
  </si>
  <si>
    <t>Acción</t>
  </si>
  <si>
    <t>Políticas</t>
  </si>
  <si>
    <t>Evento</t>
  </si>
  <si>
    <t>Número</t>
  </si>
  <si>
    <t>Aspectos por solucionar</t>
  </si>
  <si>
    <t>Domain Event</t>
  </si>
  <si>
    <t>Action/Command</t>
  </si>
  <si>
    <t>Business Rule/Policy</t>
  </si>
  <si>
    <t>External System</t>
  </si>
  <si>
    <t>Sistema Externo</t>
  </si>
  <si>
    <t>Hotspot/questions/Risk</t>
  </si>
  <si>
    <t>Eventos Previos</t>
  </si>
  <si>
    <t>Comandos Posteriores</t>
  </si>
  <si>
    <t>Read Model</t>
  </si>
  <si>
    <t>Información externa</t>
  </si>
  <si>
    <t>Información</t>
  </si>
  <si>
    <t>Entity/Aggregate/Object domain</t>
  </si>
  <si>
    <t>Objeto de dominio</t>
  </si>
  <si>
    <t>TipoObjetoDominio</t>
  </si>
  <si>
    <t>Contexto</t>
  </si>
  <si>
    <t>Propio</t>
  </si>
  <si>
    <t>Nombre contexto</t>
  </si>
  <si>
    <t>Descripción contexto</t>
  </si>
  <si>
    <t>Administrador</t>
  </si>
  <si>
    <t>Residente</t>
  </si>
  <si>
    <t>Residentes</t>
  </si>
  <si>
    <t>Administrador del sistema</t>
  </si>
  <si>
    <t>Información conjunto residencial</t>
  </si>
  <si>
    <t>Información del conjunto residencial al cual se va a registrar un administrador</t>
  </si>
  <si>
    <t>Modificar administrador</t>
  </si>
  <si>
    <t>Inmueble</t>
  </si>
  <si>
    <t xml:space="preserve">Objeto de dominio que representa el inmueble donde vive el residente del conjunto residencial. </t>
  </si>
  <si>
    <t>Objeto de dominio que representa a un residente que vive dentro de un inmueble en un conjunto residencial</t>
  </si>
  <si>
    <t>Referenciado</t>
  </si>
  <si>
    <t>Contexto cuya motivación es Gestionar la estructura sobre los residentes  en cada conjunto residencial. Aquí se manejan los datos sobre donde esta viviendo el residente y su asignación según su propiedad dependiente de un imueble.</t>
  </si>
  <si>
    <t>ZonaInmueble</t>
  </si>
  <si>
    <t>Objeto de dominio que representa una Zona de Inmuebles en un conjunto residencial se refiere a una agrupación de unidades habitacionales (como una torre, bloque, o lote) que comparten una ubicación física y características comunes dentro del conjunto.</t>
  </si>
  <si>
    <t>Resid-Pol0001</t>
  </si>
  <si>
    <t>Resid-Pol0002</t>
  </si>
  <si>
    <t>Resid-Pol0003</t>
  </si>
  <si>
    <t>Resid-Pol0004</t>
  </si>
  <si>
    <t>Asegurar que los datos requeridos para registrar la información del nuevo residente sean válidos a nivel de tipo de dato,formato, rango, longitud y obligatoriedad.</t>
  </si>
  <si>
    <t>Resid-Pol0005</t>
  </si>
  <si>
    <t>Residente debe estar asociado a un Inmueble existente en el contexto Conjuntos Residenciales</t>
  </si>
  <si>
    <t>Los datos personales del residente deben ser válidos.</t>
  </si>
  <si>
    <t>Se debe asegurar que exista.</t>
  </si>
  <si>
    <t>Los datos personales y la referencia al Inmueble deben ser válidos.</t>
  </si>
  <si>
    <t>Resid-Pol0006</t>
  </si>
  <si>
    <t>Resid-Pol0007</t>
  </si>
  <si>
    <t>Resid-Pol0008</t>
  </si>
  <si>
    <t>El Residente debe existir en el sistema.</t>
  </si>
  <si>
    <t>El Residente debe estar desvinculado de cualquier Inmueble antes de ser eliminado, si aplica la política.</t>
  </si>
  <si>
    <t>Sistema de Registro de Residentes</t>
  </si>
  <si>
    <t>VincularInmueble Residente</t>
  </si>
  <si>
    <t>DesvincularInmueble Residente</t>
  </si>
  <si>
    <t>Resid-Pol0009</t>
  </si>
  <si>
    <t>Resid-Pol00010</t>
  </si>
  <si>
    <t>Resid-Pol00011</t>
  </si>
  <si>
    <t>Resid-Pol00012</t>
  </si>
  <si>
    <t>El Residente y el Inmueble deben existir.</t>
  </si>
  <si>
    <t>El Inmueble debe estar disponible para asignación.</t>
  </si>
  <si>
    <t>El Residente debe tener un Inmueble vinculado.</t>
  </si>
  <si>
    <t>Residente Vinculado</t>
  </si>
  <si>
    <t>Residente Desvinculado</t>
  </si>
  <si>
    <t>Residente registrado</t>
  </si>
  <si>
    <t>Inmueble Registrado</t>
  </si>
  <si>
    <t>Se debe realizar el proceso de actualización de estado en el Inmueble en el contexto de Conjuntos Residenciales.</t>
  </si>
  <si>
    <t>Eliminar Residente</t>
  </si>
  <si>
    <t>Eliminar Inmueble</t>
  </si>
  <si>
    <t>Action/Inmmand</t>
  </si>
  <si>
    <t>Inmandos Posteriores</t>
  </si>
  <si>
    <t>Crear Inmueble</t>
  </si>
  <si>
    <t>Acción dónde un administrador podrá crear una Inmueble</t>
  </si>
  <si>
    <t>información Zona Inmueble</t>
  </si>
  <si>
    <t>Información del Zona Inmueble al que se encuentra asociada la Inmueble que se desea crear.</t>
  </si>
  <si>
    <t>Inmueble-Pol0001</t>
  </si>
  <si>
    <t>Asegurar que los datos requeridos para registrar la información del nuevo inmueble que sean válidos a nivel de tipo de dato,formato, rango, longitud y obligatoriedad.</t>
  </si>
  <si>
    <t>Inmueble creado</t>
  </si>
  <si>
    <t>Inmueble eliminada</t>
  </si>
  <si>
    <t>Buscar Inmueble</t>
  </si>
  <si>
    <t>Inmueble-Pol0002</t>
  </si>
  <si>
    <t>La combinación de TipoInmueble, numeroVivienda y ZonaInmueble debe ser única.</t>
  </si>
  <si>
    <t>Modificar Inmueble</t>
  </si>
  <si>
    <t>Inmueble-Pol0003</t>
  </si>
  <si>
    <t>TipoInmueble y ZonaInmueble deben ser referencias válidas.</t>
  </si>
  <si>
    <t>Sistema</t>
  </si>
  <si>
    <t xml:space="preserve">Buscar inmueble </t>
  </si>
  <si>
    <t>Acción de buscar una Inmueble especifica</t>
  </si>
  <si>
    <t>Información del Zona Inmueble al que se encuentra asociada la Inmueble que se desea buscar.</t>
  </si>
  <si>
    <t>Inmueble-Pol0004</t>
  </si>
  <si>
    <t>Asegurar que el identificador del inmueble que se decea buscar exista.</t>
  </si>
  <si>
    <t xml:space="preserve">Inmueble buscado </t>
  </si>
  <si>
    <t>Inmueble creada</t>
  </si>
  <si>
    <t>Acción de modificar los atributos de una Inmueble</t>
  </si>
  <si>
    <t xml:space="preserve">Inmueble </t>
  </si>
  <si>
    <t>Información del Zona Inmueble al que se encuentra asociada la Inmueble que se desea modificar</t>
  </si>
  <si>
    <t>Inmueble-Pol0005</t>
  </si>
  <si>
    <t>Asegurar que el identificador del conjunto residencial que se desea registrar  no ha haya sido asignado previamente a otro conjunto residencial.</t>
  </si>
  <si>
    <t>Inmueble modificado</t>
  </si>
  <si>
    <t>Inmueble-Pol0006</t>
  </si>
  <si>
    <t>Si se cambia TipoInmueble, numeroVivienda o ZonaInmueble, la combinación debe seguir siendo única.</t>
  </si>
  <si>
    <t>Acción de eliminar una Inmueble de un Zona Inmueble.</t>
  </si>
  <si>
    <t>Información del Zona Inmueble al que se encuentra asociada la Inmueble que se desea eliminar.</t>
  </si>
  <si>
    <t>Inmueble-Pol0007</t>
  </si>
  <si>
    <t>Se debe asegurar exista una zona inmueble.</t>
  </si>
  <si>
    <t>Inmueble eliminado</t>
  </si>
  <si>
    <t>Crear Inmueble.</t>
  </si>
  <si>
    <t>Inmueble-Pol0008</t>
  </si>
  <si>
    <t>El Inmueble no debe estar asignado a ningún residente antes de ser eliminado.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</si>
</sst>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sz val="10"/>
      <color theme="1"/>
      <name val="Calibri"/>
      <family val="2"/>
      <scheme val="minor"/>
    </font>
    <font>
      <b/>
      <sz val="10"/>
      <color theme="1"/>
      <name val="Calibri"/>
      <family val="2"/>
      <scheme val="minor"/>
    </font>
    <font>
      <b/>
      <sz val="11"/>
      <color rgb="FF000000"/>
      <name val="Calibri"/>
      <family val="2"/>
    </font>
    <font>
      <sz val="11"/>
      <color rgb="FF000000"/>
      <name val="Calibri"/>
      <family val="2"/>
    </font>
  </fonts>
  <fills count="2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rgb="FFFFC000"/>
        <bgColor indexed="64"/>
      </patternFill>
    </fill>
    <fill>
      <patternFill patternType="solid">
        <fgColor theme="6" tint="0.79998168889431442"/>
        <bgColor indexed="64"/>
      </patternFill>
    </fill>
    <fill>
      <patternFill patternType="solid">
        <fgColor rgb="FFCC99FF"/>
        <bgColor indexed="64"/>
      </patternFill>
    </fill>
    <fill>
      <patternFill patternType="solid">
        <fgColor rgb="FFFCFCAA"/>
        <bgColor indexed="64"/>
      </patternFill>
    </fill>
    <fill>
      <patternFill patternType="solid">
        <fgColor rgb="FFFDD3FA"/>
        <bgColor indexed="64"/>
      </patternFill>
    </fill>
    <fill>
      <patternFill patternType="solid">
        <fgColor rgb="FFFA90B1"/>
        <bgColor indexed="64"/>
      </patternFill>
    </fill>
    <fill>
      <patternFill patternType="solid">
        <fgColor rgb="FF92D050"/>
        <bgColor indexed="64"/>
      </patternFill>
    </fill>
    <fill>
      <patternFill patternType="solid">
        <fgColor theme="3" tint="0.79998168889431442"/>
        <bgColor indexed="64"/>
      </patternFill>
    </fill>
    <fill>
      <patternFill patternType="solid">
        <fgColor rgb="FFC3895D"/>
        <bgColor indexed="64"/>
      </patternFill>
    </fill>
    <fill>
      <patternFill patternType="solid">
        <fgColor rgb="FFFFFF00"/>
        <bgColor indexed="64"/>
      </patternFill>
    </fill>
    <fill>
      <patternFill patternType="solid">
        <fgColor rgb="FFBFBFBF"/>
        <bgColor rgb="FF000000"/>
      </patternFill>
    </fill>
    <fill>
      <patternFill patternType="solid">
        <fgColor rgb="FFFCE4D6"/>
        <bgColor rgb="FF000000"/>
      </patternFill>
    </fill>
    <fill>
      <patternFill patternType="solid">
        <fgColor rgb="FFDDEBF7"/>
        <bgColor rgb="FF000000"/>
      </patternFill>
    </fill>
    <fill>
      <patternFill patternType="solid">
        <fgColor rgb="FFE2EFDA"/>
        <bgColor rgb="FF000000"/>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7"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ck">
        <color indexed="64"/>
      </left>
      <right style="thick">
        <color indexed="64"/>
      </right>
      <top style="medium">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84">
    <xf numFmtId="0" fontId="0" fillId="0" borderId="0" xfId="0"/>
    <xf numFmtId="0" fontId="0" fillId="0" borderId="0" xfId="0" applyAlignment="1">
      <alignment vertical="center"/>
    </xf>
    <xf numFmtId="0" fontId="0" fillId="2" borderId="0" xfId="0" applyFill="1"/>
    <xf numFmtId="0" fontId="3" fillId="0" borderId="0" xfId="0" applyFont="1" applyAlignment="1">
      <alignment vertical="center"/>
    </xf>
    <xf numFmtId="0" fontId="3" fillId="0" borderId="0" xfId="0" applyFont="1" applyAlignment="1">
      <alignment vertical="center" wrapText="1"/>
    </xf>
    <xf numFmtId="0" fontId="5" fillId="17" borderId="1" xfId="0" applyFont="1" applyFill="1" applyBorder="1" applyAlignment="1">
      <alignment horizontal="center" vertical="center"/>
    </xf>
    <xf numFmtId="0" fontId="0" fillId="3" borderId="1" xfId="0" applyFill="1" applyBorder="1" applyAlignment="1">
      <alignment vertical="center" wrapText="1"/>
    </xf>
    <xf numFmtId="0" fontId="0" fillId="3" borderId="1" xfId="0" applyFill="1" applyBorder="1" applyAlignment="1">
      <alignment vertical="center"/>
    </xf>
    <xf numFmtId="0" fontId="5" fillId="15" borderId="1" xfId="0" applyFont="1" applyFill="1" applyBorder="1" applyAlignment="1">
      <alignment vertical="center"/>
    </xf>
    <xf numFmtId="0" fontId="5" fillId="17" borderId="1" xfId="0" applyFont="1" applyFill="1" applyBorder="1" applyAlignment="1">
      <alignment vertical="center"/>
    </xf>
    <xf numFmtId="0" fontId="2" fillId="18" borderId="1" xfId="1" applyFill="1" applyBorder="1" applyAlignment="1">
      <alignment vertical="center"/>
    </xf>
    <xf numFmtId="0" fontId="6" fillId="18" borderId="1" xfId="0" applyFont="1" applyFill="1" applyBorder="1" applyAlignment="1">
      <alignment vertical="center" wrapText="1"/>
    </xf>
    <xf numFmtId="0" fontId="4" fillId="6" borderId="5" xfId="0" applyFont="1" applyFill="1" applyBorder="1" applyAlignment="1">
      <alignment vertical="center"/>
    </xf>
    <xf numFmtId="0" fontId="4" fillId="6" borderId="6" xfId="0" applyFont="1" applyFill="1" applyBorder="1" applyAlignment="1">
      <alignment vertical="center"/>
    </xf>
    <xf numFmtId="0" fontId="4" fillId="8" borderId="6" xfId="0" applyFont="1" applyFill="1" applyBorder="1" applyAlignment="1">
      <alignment horizontal="center" vertical="center"/>
    </xf>
    <xf numFmtId="0" fontId="4" fillId="14" borderId="6" xfId="0" applyFont="1" applyFill="1" applyBorder="1" applyAlignment="1">
      <alignment horizontal="center" vertical="center" wrapText="1"/>
    </xf>
    <xf numFmtId="0" fontId="4" fillId="11" borderId="6" xfId="0" applyFont="1" applyFill="1" applyBorder="1" applyAlignment="1">
      <alignment horizontal="center" vertical="center" wrapText="1"/>
    </xf>
    <xf numFmtId="0" fontId="4" fillId="7" borderId="6" xfId="0" applyFont="1" applyFill="1" applyBorder="1" applyAlignment="1">
      <alignment horizontal="center" vertical="center" wrapText="1"/>
    </xf>
    <xf numFmtId="0" fontId="4" fillId="9" borderId="6"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10" borderId="6" xfId="0" applyFont="1" applyFill="1" applyBorder="1" applyAlignment="1">
      <alignment horizontal="center" vertical="center" wrapText="1"/>
    </xf>
    <xf numFmtId="0" fontId="4" fillId="7" borderId="6" xfId="0" applyFont="1" applyFill="1" applyBorder="1" applyAlignment="1">
      <alignment horizontal="center" vertical="center"/>
    </xf>
    <xf numFmtId="0" fontId="0" fillId="0" borderId="6" xfId="0" applyBorder="1" applyAlignment="1">
      <alignment horizontal="left" vertical="center" wrapText="1"/>
    </xf>
    <xf numFmtId="0" fontId="0" fillId="19" borderId="6" xfId="0" applyFill="1" applyBorder="1" applyAlignment="1">
      <alignment horizontal="left" vertical="center" wrapText="1"/>
    </xf>
    <xf numFmtId="0" fontId="0" fillId="19" borderId="6" xfId="0" applyFill="1" applyBorder="1" applyAlignment="1">
      <alignment vertical="center" wrapText="1"/>
    </xf>
    <xf numFmtId="0" fontId="0" fillId="20" borderId="6" xfId="0" applyFill="1" applyBorder="1" applyAlignment="1">
      <alignment horizontal="left" vertical="center" wrapText="1"/>
    </xf>
    <xf numFmtId="0" fontId="0" fillId="4" borderId="6" xfId="0" applyFill="1" applyBorder="1" applyAlignment="1">
      <alignment horizontal="left" vertical="center" wrapText="1"/>
    </xf>
    <xf numFmtId="0" fontId="0" fillId="4" borderId="6" xfId="0" applyFill="1" applyBorder="1" applyAlignment="1">
      <alignment vertical="center" wrapText="1"/>
    </xf>
    <xf numFmtId="0" fontId="0" fillId="4" borderId="6" xfId="0" applyFill="1" applyBorder="1" applyAlignment="1">
      <alignment horizontal="center" vertical="center" wrapText="1"/>
    </xf>
    <xf numFmtId="0" fontId="0" fillId="21" borderId="6" xfId="0" applyFill="1" applyBorder="1" applyAlignment="1">
      <alignment horizontal="left" vertical="center" wrapText="1"/>
    </xf>
    <xf numFmtId="0" fontId="0" fillId="21" borderId="6" xfId="0" applyFill="1" applyBorder="1" applyAlignment="1">
      <alignment vertical="center"/>
    </xf>
    <xf numFmtId="0" fontId="0" fillId="21" borderId="6" xfId="0" applyFill="1" applyBorder="1" applyAlignment="1">
      <alignment vertical="center" wrapText="1"/>
    </xf>
    <xf numFmtId="0" fontId="0" fillId="22" borderId="6" xfId="0" applyFill="1" applyBorder="1" applyAlignment="1">
      <alignment vertical="center"/>
    </xf>
    <xf numFmtId="0" fontId="0" fillId="22" borderId="6" xfId="0" applyFill="1" applyBorder="1" applyAlignment="1">
      <alignment vertical="center" wrapText="1"/>
    </xf>
    <xf numFmtId="0" fontId="0" fillId="7" borderId="6" xfId="0" applyFill="1" applyBorder="1" applyAlignment="1">
      <alignment vertical="center"/>
    </xf>
    <xf numFmtId="0" fontId="0" fillId="7" borderId="6" xfId="0" applyFill="1" applyBorder="1" applyAlignment="1">
      <alignment vertical="center" wrapText="1"/>
    </xf>
    <xf numFmtId="0" fontId="0" fillId="23" borderId="6" xfId="0" applyFill="1" applyBorder="1" applyAlignment="1">
      <alignment horizontal="left" vertical="center" wrapText="1"/>
    </xf>
    <xf numFmtId="0" fontId="0" fillId="23" borderId="6" xfId="0" applyFill="1" applyBorder="1" applyAlignment="1">
      <alignment vertical="center" wrapText="1"/>
    </xf>
    <xf numFmtId="0" fontId="0" fillId="24" borderId="6" xfId="0" applyFill="1" applyBorder="1" applyAlignment="1">
      <alignment horizontal="left" vertical="center" wrapText="1"/>
    </xf>
    <xf numFmtId="0" fontId="4" fillId="6" borderId="6" xfId="0" applyFont="1" applyFill="1" applyBorder="1" applyAlignment="1">
      <alignment vertical="center" wrapText="1"/>
    </xf>
    <xf numFmtId="0" fontId="4" fillId="8" borderId="6" xfId="0" applyFont="1" applyFill="1" applyBorder="1" applyAlignment="1">
      <alignment horizontal="center" vertical="center" wrapText="1"/>
    </xf>
    <xf numFmtId="0" fontId="6" fillId="16" borderId="1" xfId="0" applyFont="1" applyFill="1" applyBorder="1" applyAlignment="1">
      <alignment horizontal="left" vertical="center"/>
    </xf>
    <xf numFmtId="0" fontId="6" fillId="16" borderId="1" xfId="0" applyFont="1" applyFill="1" applyBorder="1" applyAlignment="1">
      <alignment horizontal="left" vertical="center" wrapText="1"/>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0" fillId="3" borderId="3" xfId="0" applyFill="1" applyBorder="1" applyAlignment="1">
      <alignment horizontal="center" vertical="center"/>
    </xf>
    <xf numFmtId="0" fontId="0" fillId="21" borderId="6" xfId="0" applyFill="1" applyBorder="1" applyAlignment="1">
      <alignment horizontal="center" vertical="center" wrapText="1"/>
    </xf>
    <xf numFmtId="0" fontId="0" fillId="0" borderId="6" xfId="0" applyBorder="1" applyAlignment="1">
      <alignment horizontal="center" vertical="center" wrapText="1"/>
    </xf>
    <xf numFmtId="0" fontId="0" fillId="19" borderId="6" xfId="0" applyFill="1" applyBorder="1" applyAlignment="1">
      <alignment horizontal="center" vertical="center" wrapText="1"/>
    </xf>
    <xf numFmtId="0" fontId="0" fillId="24" borderId="6" xfId="0" applyFill="1" applyBorder="1" applyAlignment="1">
      <alignment horizontal="left" vertical="center" wrapText="1"/>
    </xf>
    <xf numFmtId="0" fontId="4" fillId="4" borderId="6" xfId="0" applyFont="1" applyFill="1" applyBorder="1" applyAlignment="1">
      <alignment horizontal="center" vertical="center" wrapText="1"/>
    </xf>
    <xf numFmtId="0" fontId="0" fillId="23" borderId="6" xfId="0" applyFill="1" applyBorder="1" applyAlignment="1">
      <alignment horizontal="left" vertical="center" wrapText="1"/>
    </xf>
    <xf numFmtId="0" fontId="2" fillId="0" borderId="0" xfId="1" applyBorder="1" applyAlignment="1">
      <alignment horizontal="left" vertical="center"/>
    </xf>
    <xf numFmtId="0" fontId="3" fillId="3" borderId="6" xfId="0" applyFont="1" applyFill="1" applyBorder="1" applyAlignment="1">
      <alignment horizontal="left" vertical="center" wrapText="1"/>
    </xf>
    <xf numFmtId="0" fontId="4" fillId="11" borderId="6" xfId="0" applyFont="1" applyFill="1" applyBorder="1" applyAlignment="1">
      <alignment horizontal="center" vertical="center" wrapText="1"/>
    </xf>
    <xf numFmtId="0" fontId="4" fillId="7" borderId="6" xfId="0" applyFont="1" applyFill="1" applyBorder="1" applyAlignment="1">
      <alignment horizontal="center" vertical="center" wrapText="1"/>
    </xf>
    <xf numFmtId="0" fontId="1" fillId="12" borderId="6" xfId="0" applyFont="1" applyFill="1" applyBorder="1" applyAlignment="1">
      <alignment horizontal="center" vertical="center" wrapText="1"/>
    </xf>
    <xf numFmtId="0" fontId="1" fillId="13" borderId="6" xfId="0" applyFont="1" applyFill="1" applyBorder="1" applyAlignment="1">
      <alignment horizontal="center" vertical="center" wrapText="1"/>
    </xf>
    <xf numFmtId="0" fontId="4" fillId="10" borderId="6" xfId="0" applyFont="1" applyFill="1" applyBorder="1" applyAlignment="1">
      <alignment horizontal="center" vertical="center" wrapText="1"/>
    </xf>
    <xf numFmtId="0" fontId="4" fillId="9" borderId="6"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14" borderId="6" xfId="0" applyFont="1" applyFill="1" applyBorder="1" applyAlignment="1">
      <alignment horizontal="center" vertical="center" wrapText="1"/>
    </xf>
    <xf numFmtId="0" fontId="4" fillId="8" borderId="6" xfId="0" applyFont="1" applyFill="1" applyBorder="1" applyAlignment="1">
      <alignment horizontal="center" vertical="center" wrapText="1"/>
    </xf>
    <xf numFmtId="0" fontId="0" fillId="22" borderId="6" xfId="0" applyFill="1" applyBorder="1" applyAlignment="1">
      <alignment horizontal="center" vertical="center"/>
    </xf>
    <xf numFmtId="0" fontId="0" fillId="7" borderId="6" xfId="0" applyFill="1" applyBorder="1" applyAlignment="1">
      <alignment horizontal="center" vertical="center"/>
    </xf>
    <xf numFmtId="0" fontId="0" fillId="20" borderId="7" xfId="0" applyFill="1" applyBorder="1" applyAlignment="1">
      <alignment horizontal="center" vertical="center" wrapText="1"/>
    </xf>
    <xf numFmtId="0" fontId="0" fillId="20" borderId="9" xfId="0" applyFill="1" applyBorder="1" applyAlignment="1">
      <alignment horizontal="center" vertical="center" wrapText="1"/>
    </xf>
    <xf numFmtId="0" fontId="0" fillId="21" borderId="7" xfId="0" applyFill="1" applyBorder="1" applyAlignment="1">
      <alignment horizontal="center" vertical="center" wrapText="1"/>
    </xf>
    <xf numFmtId="0" fontId="0" fillId="21" borderId="9" xfId="0" applyFill="1" applyBorder="1" applyAlignment="1">
      <alignment horizontal="center" vertical="center" wrapText="1"/>
    </xf>
    <xf numFmtId="0" fontId="0" fillId="22" borderId="6" xfId="0" applyFill="1" applyBorder="1" applyAlignment="1">
      <alignment horizontal="center" vertical="center" wrapText="1"/>
    </xf>
    <xf numFmtId="0" fontId="0" fillId="7" borderId="6" xfId="0" applyFill="1" applyBorder="1" applyAlignment="1">
      <alignment horizontal="center" vertical="center" wrapText="1"/>
    </xf>
    <xf numFmtId="0" fontId="0" fillId="20" borderId="6" xfId="0" applyFill="1"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19" borderId="6" xfId="0" applyFill="1" applyBorder="1" applyAlignment="1">
      <alignment horizontal="left" vertical="center" wrapText="1"/>
    </xf>
    <xf numFmtId="0" fontId="4" fillId="7" borderId="6" xfId="0" applyFont="1" applyFill="1" applyBorder="1" applyAlignment="1">
      <alignment horizontal="center" vertical="center"/>
    </xf>
    <xf numFmtId="0" fontId="4" fillId="9" borderId="6" xfId="0" applyFont="1" applyFill="1" applyBorder="1" applyAlignment="1">
      <alignment horizontal="center" vertical="center"/>
    </xf>
    <xf numFmtId="0" fontId="3" fillId="3" borderId="5" xfId="0" applyFont="1" applyFill="1" applyBorder="1" applyAlignment="1">
      <alignment horizontal="left" vertical="center"/>
    </xf>
    <xf numFmtId="0" fontId="1" fillId="12" borderId="6" xfId="0" applyFont="1" applyFill="1" applyBorder="1" applyAlignment="1">
      <alignment horizontal="center" vertical="center"/>
    </xf>
    <xf numFmtId="0" fontId="1" fillId="13" borderId="6" xfId="0" applyFont="1" applyFill="1" applyBorder="1" applyAlignment="1">
      <alignment horizontal="center" vertical="center"/>
    </xf>
    <xf numFmtId="0" fontId="4" fillId="8" borderId="6" xfId="0" applyFont="1" applyFill="1" applyBorder="1" applyAlignment="1">
      <alignment horizontal="center" vertical="center"/>
    </xf>
    <xf numFmtId="0" fontId="4" fillId="10" borderId="6" xfId="0" applyFont="1" applyFill="1" applyBorder="1" applyAlignment="1">
      <alignment horizontal="center" vertical="center"/>
    </xf>
    <xf numFmtId="0" fontId="4" fillId="5" borderId="6" xfId="0" applyFont="1" applyFill="1" applyBorder="1" applyAlignment="1">
      <alignment horizontal="center" vertical="center"/>
    </xf>
  </cellXfs>
  <cellStyles count="3">
    <cellStyle name="Hipervínculo" xfId="1" builtinId="8"/>
    <cellStyle name="Hyperlink" xfId="2" xr:uid="{00000000-000B-0000-0000-000008000000}"/>
    <cellStyle name="Normal" xfId="0" builtinId="0"/>
  </cellStyles>
  <dxfs count="0"/>
  <tableStyles count="0" defaultTableStyle="TableStyleMedium2" defaultPivotStyle="PivotStyleLight16"/>
  <colors>
    <mruColors>
      <color rgb="FFCC99FF"/>
      <color rgb="FFC3895D"/>
      <color rgb="FFFA90B1"/>
      <color rgb="FFFDD3FA"/>
      <color rgb="FFFDD3DD"/>
      <color rgb="FFFCFCAA"/>
      <color rgb="FFC1EE5C"/>
      <color rgb="FFFF0066"/>
      <color rgb="FFCCCC00"/>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78441</xdr:colOff>
      <xdr:row>1</xdr:row>
      <xdr:rowOff>44824</xdr:rowOff>
    </xdr:from>
    <xdr:to>
      <xdr:col>12</xdr:col>
      <xdr:colOff>22559</xdr:colOff>
      <xdr:row>38</xdr:row>
      <xdr:rowOff>83913</xdr:rowOff>
    </xdr:to>
    <xdr:pic>
      <xdr:nvPicPr>
        <xdr:cNvPr id="2" name="Imagen 1">
          <a:extLst>
            <a:ext uri="{FF2B5EF4-FFF2-40B4-BE49-F238E27FC236}">
              <a16:creationId xmlns:a16="http://schemas.microsoft.com/office/drawing/2014/main" id="{D20A7772-73BA-8147-2909-4286878DE593}"/>
            </a:ext>
          </a:extLst>
        </xdr:cNvPr>
        <xdr:cNvPicPr>
          <a:picLocks noChangeAspect="1"/>
        </xdr:cNvPicPr>
      </xdr:nvPicPr>
      <xdr:blipFill>
        <a:blip xmlns:r="http://schemas.openxmlformats.org/officeDocument/2006/relationships" r:embed="rId1"/>
        <a:stretch>
          <a:fillRect/>
        </a:stretch>
      </xdr:blipFill>
      <xdr:spPr>
        <a:xfrm>
          <a:off x="78441" y="235324"/>
          <a:ext cx="9088118" cy="708758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dre\Documents\DOO%202024%20BD\DOO\victus-doc\Doo-Doc\Nueva%20Version%20Victus\Event%20Storming\ConjuntosResidenciales%20-%20Event%20Storming.xlsx" TargetMode="External"/><Relationship Id="rId1" Type="http://schemas.openxmlformats.org/officeDocument/2006/relationships/externalLinkPath" Target="ConjuntosResidenciales%20-%20Event%20Storm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ujo de eventos en el tiempo"/>
      <sheetName val="Listado Objetos de Dominio"/>
      <sheetName val="ConjuntoResidencial"/>
      <sheetName val="ZonaComun"/>
      <sheetName val="Administrador"/>
      <sheetName val="ZonaInmueble"/>
      <sheetName val="Inmueble"/>
    </sheetNames>
    <sheetDataSet>
      <sheetData sheetId="0"/>
      <sheetData sheetId="1">
        <row r="8">
          <cell r="A8" t="str">
            <v>Inmueble</v>
          </cell>
          <cell r="B8" t="str">
            <v>Objeto de dominio que representa un inmueble dentro de una zona de inmuebles en un conjunto residencial describe las características específicas de una unidad habitacional en el contexto de una agrupación más amplia, como una torre, bloque o área específica, que es representada por su zona de inmueble</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F4C49-240B-4036-BD62-669D42F23E67}">
  <dimension ref="A1:F18"/>
  <sheetViews>
    <sheetView zoomScale="85" zoomScaleNormal="85" workbookViewId="0">
      <selection activeCell="O19" sqref="O19"/>
    </sheetView>
  </sheetViews>
  <sheetFormatPr baseColWidth="10" defaultColWidth="11.42578125" defaultRowHeight="15" x14ac:dyDescent="0.25"/>
  <cols>
    <col min="1" max="16384" width="11.42578125" style="2"/>
  </cols>
  <sheetData>
    <row r="1" spans="1:1" x14ac:dyDescent="0.25">
      <c r="A1"/>
    </row>
    <row r="18" spans="6:6" x14ac:dyDescent="0.25">
      <c r="F18"/>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88B9D-0652-49D5-BF62-A59B793D6DFC}">
  <dimension ref="A1:D6"/>
  <sheetViews>
    <sheetView zoomScaleNormal="100" workbookViewId="0">
      <selection activeCell="B4" sqref="B4"/>
    </sheetView>
  </sheetViews>
  <sheetFormatPr baseColWidth="10" defaultRowHeight="15" x14ac:dyDescent="0.25"/>
  <cols>
    <col min="1" max="1" width="22.5703125" customWidth="1"/>
    <col min="2" max="2" width="50.7109375" customWidth="1"/>
    <col min="3" max="3" width="25.28515625" customWidth="1"/>
    <col min="4" max="4" width="22.85546875" bestFit="1" customWidth="1"/>
  </cols>
  <sheetData>
    <row r="1" spans="1:4" x14ac:dyDescent="0.25">
      <c r="A1" s="8" t="s">
        <v>27</v>
      </c>
      <c r="B1" s="41" t="s">
        <v>31</v>
      </c>
      <c r="C1" s="41"/>
      <c r="D1" s="41"/>
    </row>
    <row r="2" spans="1:4" ht="87.75" customHeight="1" x14ac:dyDescent="0.25">
      <c r="A2" s="8" t="s">
        <v>28</v>
      </c>
      <c r="B2" s="42" t="s">
        <v>40</v>
      </c>
      <c r="C2" s="42"/>
      <c r="D2" s="42"/>
    </row>
    <row r="3" spans="1:4" x14ac:dyDescent="0.25">
      <c r="A3" s="5" t="s">
        <v>4</v>
      </c>
      <c r="B3" s="5" t="s">
        <v>0</v>
      </c>
      <c r="C3" s="5" t="s">
        <v>24</v>
      </c>
      <c r="D3" s="9" t="s">
        <v>25</v>
      </c>
    </row>
    <row r="4" spans="1:4" ht="30" x14ac:dyDescent="0.25">
      <c r="A4" s="10" t="s">
        <v>30</v>
      </c>
      <c r="B4" s="11" t="s">
        <v>38</v>
      </c>
      <c r="C4" s="7" t="s">
        <v>26</v>
      </c>
      <c r="D4" s="43" t="str">
        <f>$B$1</f>
        <v>Residentes</v>
      </c>
    </row>
    <row r="5" spans="1:4" ht="75" x14ac:dyDescent="0.25">
      <c r="A5" s="10" t="s">
        <v>41</v>
      </c>
      <c r="B5" s="6" t="s">
        <v>42</v>
      </c>
      <c r="C5" s="7" t="s">
        <v>39</v>
      </c>
      <c r="D5" s="44"/>
    </row>
    <row r="6" spans="1:4" ht="30" x14ac:dyDescent="0.25">
      <c r="A6" s="10" t="s">
        <v>36</v>
      </c>
      <c r="B6" s="11" t="s">
        <v>37</v>
      </c>
      <c r="C6" s="7" t="s">
        <v>26</v>
      </c>
      <c r="D6" s="45"/>
    </row>
  </sheetData>
  <mergeCells count="3">
    <mergeCell ref="B1:D1"/>
    <mergeCell ref="B2:D2"/>
    <mergeCell ref="D4:D6"/>
  </mergeCells>
  <hyperlinks>
    <hyperlink ref="A4" location="Residente!B2" display="Residente" xr:uid="{0EDF37AB-FD73-4881-AC1F-834EA35450FC}"/>
    <hyperlink ref="A6" location="Administrador!B2" display="Administrador" xr:uid="{73197E91-856C-4027-AAF7-236FE35F42A8}"/>
    <hyperlink ref="A5" location="ConjuntoResidencial!B2" display="ConjuntoResidencial" xr:uid="{5FBAD61E-EF42-421E-A370-0599E3DF701D}"/>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2BFC6-5B3A-4E40-BEA3-58E7EDB79B0C}">
  <dimension ref="A1:N16"/>
  <sheetViews>
    <sheetView workbookViewId="0">
      <pane ySplit="1" topLeftCell="A2" activePane="bottomLeft" state="frozen"/>
      <selection pane="bottomLeft" activeCell="J19" sqref="J19"/>
    </sheetView>
  </sheetViews>
  <sheetFormatPr baseColWidth="10" defaultColWidth="11.42578125" defaultRowHeight="15" x14ac:dyDescent="0.25"/>
  <cols>
    <col min="1" max="1" width="23.85546875" style="1" bestFit="1" customWidth="1"/>
    <col min="2" max="2" width="21.28515625" style="1" customWidth="1"/>
    <col min="3" max="3" width="18.85546875" style="1" bestFit="1" customWidth="1"/>
    <col min="4" max="4" width="26.42578125" style="1" customWidth="1"/>
    <col min="5" max="5" width="27.42578125" style="1" customWidth="1"/>
    <col min="6" max="6" width="18.85546875" style="1" customWidth="1"/>
    <col min="7" max="7" width="19.5703125" style="1" customWidth="1"/>
    <col min="8" max="8" width="25.42578125" style="1" customWidth="1"/>
    <col min="9" max="9" width="15.28515625" style="1" customWidth="1"/>
    <col min="10" max="10" width="37.85546875" style="1" bestFit="1" customWidth="1"/>
    <col min="11" max="11" width="20.140625" style="1" bestFit="1" customWidth="1"/>
    <col min="12" max="12" width="38" style="1" customWidth="1"/>
    <col min="13" max="13" width="46.28515625" style="1" customWidth="1"/>
    <col min="14" max="14" width="19.28515625" style="1" bestFit="1" customWidth="1"/>
    <col min="15" max="15" width="132.5703125" style="1" bestFit="1" customWidth="1"/>
    <col min="16" max="16" width="46.42578125" style="1" bestFit="1" customWidth="1"/>
    <col min="17" max="17" width="50.140625" style="1" bestFit="1" customWidth="1"/>
    <col min="18" max="18" width="66.85546875" style="1" bestFit="1" customWidth="1"/>
    <col min="19" max="19" width="52.28515625" style="1" bestFit="1" customWidth="1"/>
    <col min="20" max="16384" width="11.42578125" style="1"/>
  </cols>
  <sheetData>
    <row r="1" spans="1:14" ht="15.75" thickBot="1" x14ac:dyDescent="0.3">
      <c r="A1" s="52" t="s">
        <v>1</v>
      </c>
      <c r="B1" s="52"/>
      <c r="C1" s="52"/>
      <c r="D1" s="52"/>
      <c r="E1" s="52"/>
      <c r="F1" s="52"/>
      <c r="G1" s="52"/>
      <c r="H1" s="52"/>
      <c r="I1" s="52"/>
      <c r="J1" s="52"/>
      <c r="K1" s="52"/>
      <c r="L1" s="52"/>
      <c r="M1" s="52"/>
      <c r="N1" s="52"/>
    </row>
    <row r="2" spans="1:14" ht="16.5" thickTop="1" thickBot="1" x14ac:dyDescent="0.3">
      <c r="A2" s="39" t="s">
        <v>2</v>
      </c>
      <c r="B2" s="53" t="str">
        <f>'[1]Listado Objetos de Dominio'!A8</f>
        <v>Inmueble</v>
      </c>
      <c r="C2" s="53"/>
      <c r="D2" s="53"/>
      <c r="E2" s="53"/>
      <c r="F2" s="53"/>
      <c r="G2" s="53"/>
      <c r="H2" s="53"/>
      <c r="I2" s="53"/>
      <c r="J2" s="53"/>
      <c r="K2" s="53"/>
      <c r="L2" s="53"/>
      <c r="M2" s="53"/>
      <c r="N2" s="3"/>
    </row>
    <row r="3" spans="1:14" ht="16.5" thickTop="1" thickBot="1" x14ac:dyDescent="0.3">
      <c r="A3" s="39" t="s">
        <v>3</v>
      </c>
      <c r="B3" s="53" t="str">
        <f>'[1]Listado Objetos de Dominio'!B8</f>
        <v>Objeto de dominio que representa un inmueble dentro de una zona de inmuebles en un conjunto residencial describe las características específicas de una unidad habitacional en el contexto de una agrupación más amplia, como una torre, bloque o área específica, que es representada por su zona de inmueble</v>
      </c>
      <c r="C3" s="53"/>
      <c r="D3" s="53"/>
      <c r="E3" s="53"/>
      <c r="F3" s="53"/>
      <c r="G3" s="53"/>
      <c r="H3" s="53"/>
      <c r="I3" s="53"/>
      <c r="J3" s="53"/>
      <c r="K3" s="53"/>
      <c r="L3" s="53"/>
      <c r="M3" s="53"/>
      <c r="N3" s="4"/>
    </row>
    <row r="4" spans="1:14" ht="27" thickTop="1" thickBot="1" x14ac:dyDescent="0.3">
      <c r="A4" s="40" t="s">
        <v>5</v>
      </c>
      <c r="B4" s="50" t="s">
        <v>75</v>
      </c>
      <c r="C4" s="50"/>
      <c r="D4" s="15" t="s">
        <v>22</v>
      </c>
      <c r="E4" s="54" t="s">
        <v>19</v>
      </c>
      <c r="F4" s="54"/>
      <c r="G4" s="55" t="s">
        <v>13</v>
      </c>
      <c r="H4" s="55"/>
      <c r="I4" s="18" t="s">
        <v>14</v>
      </c>
      <c r="J4" s="19" t="s">
        <v>11</v>
      </c>
      <c r="K4" s="20" t="s">
        <v>16</v>
      </c>
      <c r="L4" s="56" t="s">
        <v>17</v>
      </c>
      <c r="M4" s="57" t="s">
        <v>76</v>
      </c>
      <c r="N4" s="4"/>
    </row>
    <row r="5" spans="1:14" ht="16.5" thickTop="1" thickBot="1" x14ac:dyDescent="0.3">
      <c r="A5" s="62" t="s">
        <v>5</v>
      </c>
      <c r="B5" s="50" t="s">
        <v>6</v>
      </c>
      <c r="C5" s="50" t="s">
        <v>0</v>
      </c>
      <c r="D5" s="61" t="s">
        <v>23</v>
      </c>
      <c r="E5" s="54" t="s">
        <v>20</v>
      </c>
      <c r="F5" s="54"/>
      <c r="G5" s="55" t="s">
        <v>7</v>
      </c>
      <c r="H5" s="55"/>
      <c r="I5" s="59" t="s">
        <v>15</v>
      </c>
      <c r="J5" s="60" t="s">
        <v>8</v>
      </c>
      <c r="K5" s="58" t="s">
        <v>10</v>
      </c>
      <c r="L5" s="56"/>
      <c r="M5" s="57"/>
    </row>
    <row r="6" spans="1:14" ht="16.5" thickTop="1" thickBot="1" x14ac:dyDescent="0.3">
      <c r="A6" s="62"/>
      <c r="B6" s="50"/>
      <c r="C6" s="50"/>
      <c r="D6" s="61"/>
      <c r="E6" s="16" t="s">
        <v>21</v>
      </c>
      <c r="F6" s="16" t="s">
        <v>0</v>
      </c>
      <c r="G6" s="17" t="s">
        <v>9</v>
      </c>
      <c r="H6" s="17" t="s">
        <v>0</v>
      </c>
      <c r="I6" s="59"/>
      <c r="J6" s="60"/>
      <c r="K6" s="58"/>
      <c r="L6" s="56"/>
      <c r="M6" s="57"/>
    </row>
    <row r="7" spans="1:14" ht="106.5" thickTop="1" thickBot="1" x14ac:dyDescent="0.3">
      <c r="A7" s="51" t="s">
        <v>29</v>
      </c>
      <c r="B7" s="51" t="s">
        <v>77</v>
      </c>
      <c r="C7" s="51" t="s">
        <v>78</v>
      </c>
      <c r="D7" s="51" t="s">
        <v>36</v>
      </c>
      <c r="E7" s="51" t="s">
        <v>79</v>
      </c>
      <c r="F7" s="51" t="s">
        <v>80</v>
      </c>
      <c r="G7" s="37" t="s">
        <v>81</v>
      </c>
      <c r="H7" s="37" t="s">
        <v>82</v>
      </c>
      <c r="I7" s="51"/>
      <c r="J7" s="51" t="s">
        <v>83</v>
      </c>
      <c r="K7" s="51"/>
      <c r="L7" s="51" t="s">
        <v>84</v>
      </c>
      <c r="M7" s="36" t="s">
        <v>85</v>
      </c>
    </row>
    <row r="8" spans="1:14" ht="76.5" thickTop="1" thickBot="1" x14ac:dyDescent="0.3">
      <c r="A8" s="51"/>
      <c r="B8" s="51"/>
      <c r="C8" s="51"/>
      <c r="D8" s="51"/>
      <c r="E8" s="51"/>
      <c r="F8" s="51"/>
      <c r="G8" s="37" t="s">
        <v>86</v>
      </c>
      <c r="H8" s="37" t="s">
        <v>87</v>
      </c>
      <c r="I8" s="51"/>
      <c r="J8" s="51"/>
      <c r="K8" s="51"/>
      <c r="L8" s="51"/>
      <c r="M8" s="36" t="s">
        <v>88</v>
      </c>
    </row>
    <row r="9" spans="1:14" ht="46.5" thickTop="1" thickBot="1" x14ac:dyDescent="0.3">
      <c r="A9" s="51"/>
      <c r="B9" s="51"/>
      <c r="C9" s="51"/>
      <c r="D9" s="51"/>
      <c r="E9" s="51"/>
      <c r="F9" s="51"/>
      <c r="G9" s="37" t="s">
        <v>89</v>
      </c>
      <c r="H9" s="37" t="s">
        <v>90</v>
      </c>
      <c r="I9" s="51"/>
      <c r="J9" s="51"/>
      <c r="K9" s="51"/>
      <c r="L9" s="51"/>
      <c r="M9" s="36" t="s">
        <v>74</v>
      </c>
    </row>
    <row r="10" spans="1:14" ht="52.5" customHeight="1" thickTop="1" thickBot="1" x14ac:dyDescent="0.3">
      <c r="A10" s="38" t="s">
        <v>91</v>
      </c>
      <c r="B10" s="49" t="s">
        <v>92</v>
      </c>
      <c r="C10" s="49" t="s">
        <v>93</v>
      </c>
      <c r="D10" s="49" t="s">
        <v>36</v>
      </c>
      <c r="E10" s="49" t="s">
        <v>79</v>
      </c>
      <c r="F10" s="49" t="s">
        <v>94</v>
      </c>
      <c r="G10" s="49" t="s">
        <v>95</v>
      </c>
      <c r="H10" s="49" t="s">
        <v>96</v>
      </c>
      <c r="I10" s="49"/>
      <c r="J10" s="49" t="s">
        <v>97</v>
      </c>
      <c r="K10" s="49"/>
      <c r="L10" s="47" t="s">
        <v>98</v>
      </c>
      <c r="M10" s="22" t="s">
        <v>88</v>
      </c>
    </row>
    <row r="11" spans="1:14" ht="51.75" customHeight="1" thickTop="1" thickBot="1" x14ac:dyDescent="0.3">
      <c r="A11" s="38" t="s">
        <v>29</v>
      </c>
      <c r="B11" s="49"/>
      <c r="C11" s="49"/>
      <c r="D11" s="49"/>
      <c r="E11" s="49"/>
      <c r="F11" s="49"/>
      <c r="G11" s="49"/>
      <c r="H11" s="49"/>
      <c r="I11" s="49"/>
      <c r="J11" s="49"/>
      <c r="K11" s="49"/>
      <c r="L11" s="47"/>
      <c r="M11" s="22" t="s">
        <v>74</v>
      </c>
    </row>
    <row r="12" spans="1:14" ht="91.5" thickTop="1" thickBot="1" x14ac:dyDescent="0.3">
      <c r="A12" s="46" t="s">
        <v>29</v>
      </c>
      <c r="B12" s="46" t="s">
        <v>88</v>
      </c>
      <c r="C12" s="46" t="s">
        <v>99</v>
      </c>
      <c r="D12" s="46" t="s">
        <v>100</v>
      </c>
      <c r="E12" s="46" t="s">
        <v>79</v>
      </c>
      <c r="F12" s="46" t="s">
        <v>101</v>
      </c>
      <c r="G12" s="29" t="s">
        <v>102</v>
      </c>
      <c r="H12" s="29" t="s">
        <v>103</v>
      </c>
      <c r="I12" s="29"/>
      <c r="J12" s="46" t="s">
        <v>104</v>
      </c>
      <c r="K12" s="29"/>
      <c r="L12" s="47"/>
      <c r="M12" s="47" t="s">
        <v>74</v>
      </c>
    </row>
    <row r="13" spans="1:14" ht="76.5" thickTop="1" thickBot="1" x14ac:dyDescent="0.3">
      <c r="A13" s="46"/>
      <c r="B13" s="46"/>
      <c r="C13" s="46"/>
      <c r="D13" s="46"/>
      <c r="E13" s="46"/>
      <c r="F13" s="46"/>
      <c r="G13" s="29" t="s">
        <v>105</v>
      </c>
      <c r="H13" s="29" t="s">
        <v>106</v>
      </c>
      <c r="I13" s="29"/>
      <c r="J13" s="46"/>
      <c r="K13" s="29"/>
      <c r="L13" s="47"/>
      <c r="M13" s="47"/>
    </row>
    <row r="14" spans="1:14" ht="31.5" thickTop="1" thickBot="1" x14ac:dyDescent="0.3">
      <c r="A14" s="48" t="s">
        <v>29</v>
      </c>
      <c r="B14" s="48" t="s">
        <v>74</v>
      </c>
      <c r="C14" s="48" t="s">
        <v>107</v>
      </c>
      <c r="D14" s="48" t="s">
        <v>36</v>
      </c>
      <c r="E14" s="48" t="s">
        <v>79</v>
      </c>
      <c r="F14" s="48" t="s">
        <v>108</v>
      </c>
      <c r="G14" s="23" t="s">
        <v>109</v>
      </c>
      <c r="H14" s="23" t="s">
        <v>110</v>
      </c>
      <c r="I14" s="23"/>
      <c r="J14" s="48" t="s">
        <v>111</v>
      </c>
      <c r="K14" s="23"/>
      <c r="L14" s="48" t="s">
        <v>98</v>
      </c>
      <c r="M14" s="23" t="s">
        <v>112</v>
      </c>
    </row>
    <row r="15" spans="1:14" ht="61.5" thickTop="1" thickBot="1" x14ac:dyDescent="0.3">
      <c r="A15" s="48"/>
      <c r="B15" s="48"/>
      <c r="C15" s="48"/>
      <c r="D15" s="48"/>
      <c r="E15" s="48"/>
      <c r="F15" s="48"/>
      <c r="G15" s="23" t="s">
        <v>113</v>
      </c>
      <c r="H15" s="23" t="s">
        <v>114</v>
      </c>
      <c r="I15" s="23"/>
      <c r="J15" s="48"/>
      <c r="K15" s="23"/>
      <c r="L15" s="48"/>
      <c r="M15" s="23" t="s">
        <v>112</v>
      </c>
    </row>
    <row r="16" spans="1:14" ht="15.75" thickTop="1" x14ac:dyDescent="0.25"/>
  </sheetData>
  <mergeCells count="54">
    <mergeCell ref="A1:N1"/>
    <mergeCell ref="B2:M2"/>
    <mergeCell ref="B3:M3"/>
    <mergeCell ref="B4:C4"/>
    <mergeCell ref="E4:F4"/>
    <mergeCell ref="G4:H4"/>
    <mergeCell ref="L4:L6"/>
    <mergeCell ref="M4:M6"/>
    <mergeCell ref="E5:F5"/>
    <mergeCell ref="G5:H5"/>
    <mergeCell ref="K5:K6"/>
    <mergeCell ref="I5:I6"/>
    <mergeCell ref="J5:J6"/>
    <mergeCell ref="D5:D6"/>
    <mergeCell ref="A5:A6"/>
    <mergeCell ref="B5:B6"/>
    <mergeCell ref="A7:A9"/>
    <mergeCell ref="B7:B9"/>
    <mergeCell ref="C7:C9"/>
    <mergeCell ref="D7:D9"/>
    <mergeCell ref="E7:E9"/>
    <mergeCell ref="C5:C6"/>
    <mergeCell ref="K7:K9"/>
    <mergeCell ref="L7:L9"/>
    <mergeCell ref="L10:L13"/>
    <mergeCell ref="F7:F9"/>
    <mergeCell ref="I7:I9"/>
    <mergeCell ref="J7:J9"/>
    <mergeCell ref="B10:B11"/>
    <mergeCell ref="C10:C11"/>
    <mergeCell ref="D10:D11"/>
    <mergeCell ref="E10:E11"/>
    <mergeCell ref="F10:F11"/>
    <mergeCell ref="G10:G11"/>
    <mergeCell ref="H10:H11"/>
    <mergeCell ref="I10:I11"/>
    <mergeCell ref="J10:J11"/>
    <mergeCell ref="K10:K11"/>
    <mergeCell ref="F12:F13"/>
    <mergeCell ref="J12:J13"/>
    <mergeCell ref="M12:M13"/>
    <mergeCell ref="A14:A15"/>
    <mergeCell ref="B14:B15"/>
    <mergeCell ref="C14:C15"/>
    <mergeCell ref="D14:D15"/>
    <mergeCell ref="E14:E15"/>
    <mergeCell ref="F14:F15"/>
    <mergeCell ref="J14:J15"/>
    <mergeCell ref="L14:L15"/>
    <mergeCell ref="A12:A13"/>
    <mergeCell ref="B12:B13"/>
    <mergeCell ref="C12:C13"/>
    <mergeCell ref="D12:D13"/>
    <mergeCell ref="E12:E13"/>
  </mergeCells>
  <hyperlinks>
    <hyperlink ref="A1" location="'Objetos de Dominio'!A1" display="Volver al inicio" xr:uid="{7A665DD2-2C92-423E-A603-0407226FFBD7}"/>
    <hyperlink ref="A1:N1" location="'Listado Objetos de Dominio'!A1" display="&lt;-Volver al inicio" xr:uid="{652D2B05-9792-4E6A-86E5-B29B7C50F24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B74C4-8D06-495C-9F2F-FA132D609BF5}">
  <dimension ref="A1:N19"/>
  <sheetViews>
    <sheetView tabSelected="1" workbookViewId="0">
      <selection activeCell="H11" sqref="H11"/>
    </sheetView>
  </sheetViews>
  <sheetFormatPr baseColWidth="10" defaultColWidth="11.42578125" defaultRowHeight="15" x14ac:dyDescent="0.25"/>
  <cols>
    <col min="1" max="1" width="23.85546875" style="1" bestFit="1" customWidth="1"/>
    <col min="2" max="2" width="21.5703125" style="1" customWidth="1"/>
    <col min="3" max="3" width="18.85546875" style="1" bestFit="1" customWidth="1"/>
    <col min="4" max="4" width="26.42578125" style="1" customWidth="1"/>
    <col min="5" max="6" width="18.85546875" style="1" customWidth="1"/>
    <col min="7" max="7" width="16.7109375" style="1" customWidth="1"/>
    <col min="8" max="8" width="31.7109375" style="1" customWidth="1"/>
    <col min="9" max="9" width="15.28515625" style="1" customWidth="1"/>
    <col min="10" max="10" width="43.140625" style="1" bestFit="1" customWidth="1"/>
    <col min="11" max="11" width="20.140625" style="1" bestFit="1" customWidth="1"/>
    <col min="12" max="12" width="38" style="1" customWidth="1"/>
    <col min="13" max="13" width="46.28515625" style="1" customWidth="1"/>
    <col min="14" max="14" width="19.28515625" style="1" bestFit="1" customWidth="1"/>
    <col min="15" max="15" width="132.5703125" style="1" bestFit="1" customWidth="1"/>
    <col min="16" max="16" width="46.42578125" style="1" bestFit="1" customWidth="1"/>
    <col min="17" max="17" width="50.140625" style="1" bestFit="1" customWidth="1"/>
    <col min="18" max="18" width="66.85546875" style="1" bestFit="1" customWidth="1"/>
    <col min="19" max="19" width="52.28515625" style="1" bestFit="1" customWidth="1"/>
    <col min="20" max="16384" width="11.42578125" style="1"/>
  </cols>
  <sheetData>
    <row r="1" spans="1:14" ht="15.75" thickBot="1" x14ac:dyDescent="0.3">
      <c r="A1" s="52" t="s">
        <v>1</v>
      </c>
      <c r="B1" s="52"/>
      <c r="C1" s="52"/>
      <c r="D1" s="52"/>
      <c r="E1" s="52"/>
      <c r="F1" s="52"/>
      <c r="G1" s="52"/>
      <c r="H1" s="52"/>
      <c r="I1" s="52"/>
      <c r="J1" s="52"/>
      <c r="K1" s="52"/>
      <c r="L1" s="52"/>
      <c r="M1" s="52"/>
      <c r="N1" s="52"/>
    </row>
    <row r="2" spans="1:14" ht="15.75" thickBot="1" x14ac:dyDescent="0.3">
      <c r="A2" s="12" t="s">
        <v>2</v>
      </c>
      <c r="B2" s="78" t="str">
        <f>'Listado Objetos de Dominio'!A4</f>
        <v>Residente</v>
      </c>
      <c r="C2" s="78"/>
      <c r="D2" s="78"/>
      <c r="E2" s="78"/>
      <c r="F2" s="78"/>
      <c r="G2" s="78"/>
      <c r="H2" s="78"/>
      <c r="I2" s="78"/>
      <c r="J2" s="78"/>
      <c r="K2" s="78"/>
      <c r="L2" s="78"/>
      <c r="M2" s="78"/>
      <c r="N2" s="3"/>
    </row>
    <row r="3" spans="1:14" ht="15.75" customHeight="1" thickTop="1" thickBot="1" x14ac:dyDescent="0.3">
      <c r="A3" s="13" t="s">
        <v>3</v>
      </c>
      <c r="B3" s="53" t="str">
        <f>'Listado Objetos de Dominio'!B6</f>
        <v xml:space="preserve">Objeto de dominio que representa el inmueble donde vive el residente del conjunto residencial. </v>
      </c>
      <c r="C3" s="53"/>
      <c r="D3" s="53"/>
      <c r="E3" s="53"/>
      <c r="F3" s="53"/>
      <c r="G3" s="53"/>
      <c r="H3" s="53"/>
      <c r="I3" s="53"/>
      <c r="J3" s="53"/>
      <c r="K3" s="53"/>
      <c r="L3" s="53"/>
      <c r="M3" s="53"/>
      <c r="N3" s="4"/>
    </row>
    <row r="4" spans="1:14" ht="15.75" customHeight="1" thickTop="1" thickBot="1" x14ac:dyDescent="0.3">
      <c r="A4" s="14" t="s">
        <v>5</v>
      </c>
      <c r="B4" s="50" t="s">
        <v>12</v>
      </c>
      <c r="C4" s="50"/>
      <c r="D4" s="15" t="s">
        <v>22</v>
      </c>
      <c r="E4" s="54" t="s">
        <v>19</v>
      </c>
      <c r="F4" s="54"/>
      <c r="G4" s="55" t="s">
        <v>13</v>
      </c>
      <c r="H4" s="55"/>
      <c r="I4" s="18" t="s">
        <v>14</v>
      </c>
      <c r="J4" s="19" t="s">
        <v>11</v>
      </c>
      <c r="K4" s="20" t="s">
        <v>16</v>
      </c>
      <c r="L4" s="79" t="s">
        <v>17</v>
      </c>
      <c r="M4" s="80" t="s">
        <v>18</v>
      </c>
      <c r="N4" s="4"/>
    </row>
    <row r="5" spans="1:14" ht="16.5" thickTop="1" thickBot="1" x14ac:dyDescent="0.3">
      <c r="A5" s="81" t="s">
        <v>5</v>
      </c>
      <c r="B5" s="50" t="s">
        <v>6</v>
      </c>
      <c r="C5" s="50" t="s">
        <v>0</v>
      </c>
      <c r="D5" s="61" t="s">
        <v>23</v>
      </c>
      <c r="E5" s="54" t="s">
        <v>20</v>
      </c>
      <c r="F5" s="54"/>
      <c r="G5" s="76" t="s">
        <v>7</v>
      </c>
      <c r="H5" s="76"/>
      <c r="I5" s="77" t="s">
        <v>15</v>
      </c>
      <c r="J5" s="83" t="s">
        <v>8</v>
      </c>
      <c r="K5" s="82" t="s">
        <v>10</v>
      </c>
      <c r="L5" s="79"/>
      <c r="M5" s="80"/>
    </row>
    <row r="6" spans="1:14" ht="16.5" thickTop="1" thickBot="1" x14ac:dyDescent="0.3">
      <c r="A6" s="81"/>
      <c r="B6" s="50"/>
      <c r="C6" s="50"/>
      <c r="D6" s="61"/>
      <c r="E6" s="16" t="s">
        <v>21</v>
      </c>
      <c r="F6" s="16" t="s">
        <v>0</v>
      </c>
      <c r="G6" s="21" t="s">
        <v>9</v>
      </c>
      <c r="H6" s="21" t="s">
        <v>0</v>
      </c>
      <c r="I6" s="77"/>
      <c r="J6" s="83"/>
      <c r="K6" s="82"/>
      <c r="L6" s="79"/>
      <c r="M6" s="80"/>
    </row>
    <row r="7" spans="1:14" ht="76.5" thickTop="1" thickBot="1" x14ac:dyDescent="0.3">
      <c r="A7" s="72" t="s">
        <v>32</v>
      </c>
      <c r="B7" s="75" t="str">
        <f>_xlfn.CONCAT("Registrar ",B2)</f>
        <v>Registrar Residente</v>
      </c>
      <c r="C7" s="75" t="str">
        <f>_xlfn.CONCAT("Acción de registrar un ",B2," para un conjunto residencial.")</f>
        <v>Acción de registrar un Residente para un conjunto residencial.</v>
      </c>
      <c r="D7" s="47" t="str">
        <f>B2</f>
        <v>Residente</v>
      </c>
      <c r="E7" s="47" t="s">
        <v>33</v>
      </c>
      <c r="F7" s="47" t="s">
        <v>34</v>
      </c>
      <c r="G7" s="24" t="s">
        <v>43</v>
      </c>
      <c r="H7" s="24" t="s">
        <v>47</v>
      </c>
      <c r="I7" s="75"/>
      <c r="J7" s="48" t="str">
        <f>_xlfn.CONCAT(B2," registrado")</f>
        <v>Residente registrado</v>
      </c>
      <c r="K7" s="75"/>
      <c r="L7" s="48" t="str">
        <f>_xlfn.CONCAT(B2," eliminado")</f>
        <v>Residente eliminado</v>
      </c>
      <c r="M7" s="23" t="s">
        <v>35</v>
      </c>
    </row>
    <row r="8" spans="1:14" ht="46.5" thickTop="1" thickBot="1" x14ac:dyDescent="0.3">
      <c r="A8" s="73"/>
      <c r="B8" s="75"/>
      <c r="C8" s="75"/>
      <c r="D8" s="47"/>
      <c r="E8" s="47"/>
      <c r="F8" s="47"/>
      <c r="G8" s="24" t="s">
        <v>44</v>
      </c>
      <c r="H8" s="24" t="s">
        <v>49</v>
      </c>
      <c r="I8" s="75"/>
      <c r="J8" s="48"/>
      <c r="K8" s="75"/>
      <c r="L8" s="48"/>
      <c r="M8" s="23" t="str">
        <f>_xlfn.CONCAT("Buscar ",B2)</f>
        <v>Buscar Residente</v>
      </c>
    </row>
    <row r="9" spans="1:14" ht="58.5" customHeight="1" thickTop="1" thickBot="1" x14ac:dyDescent="0.3">
      <c r="A9" s="73"/>
      <c r="B9" s="75"/>
      <c r="C9" s="75"/>
      <c r="D9" s="47"/>
      <c r="E9" s="47"/>
      <c r="F9" s="47"/>
      <c r="G9" s="24" t="s">
        <v>45</v>
      </c>
      <c r="H9" s="24" t="s">
        <v>50</v>
      </c>
      <c r="I9" s="75"/>
      <c r="J9" s="48"/>
      <c r="K9" s="75"/>
      <c r="L9" s="48"/>
      <c r="M9" s="23" t="str">
        <f>_xlfn.CONCAT("Eliminar ",B2)</f>
        <v>Eliminar Residente</v>
      </c>
    </row>
    <row r="10" spans="1:14" ht="90" customHeight="1" thickTop="1" thickBot="1" x14ac:dyDescent="0.3">
      <c r="A10" s="73"/>
      <c r="B10" s="71" t="str">
        <f>_xlfn.CONCAT("Modificar ",B2)</f>
        <v>Modificar Residente</v>
      </c>
      <c r="C10" s="71" t="str">
        <f>_xlfn.CONCAT("Acción de modificar la información asociada a un ",B2," del conjunto residencial.")</f>
        <v>Acción de modificar la información asociada a un Residente del conjunto residencial.</v>
      </c>
      <c r="D10" s="47"/>
      <c r="E10" s="47"/>
      <c r="F10" s="47"/>
      <c r="G10" s="25" t="s">
        <v>46</v>
      </c>
      <c r="H10" s="25" t="s">
        <v>51</v>
      </c>
      <c r="I10" s="25"/>
      <c r="J10" s="71" t="str">
        <f>_xlfn.CONCAT(B2," modificado")</f>
        <v>Residente modificado</v>
      </c>
      <c r="K10" s="25"/>
      <c r="L10" s="47" t="str">
        <f>_xlfn.CONCAT(B2," registrado")</f>
        <v>Residente registrado</v>
      </c>
      <c r="M10" s="65" t="str">
        <f>_xlfn.CONCAT("Eliminar ",$B$2)</f>
        <v>Eliminar Residente</v>
      </c>
    </row>
    <row r="11" spans="1:14" ht="46.5" thickTop="1" thickBot="1" x14ac:dyDescent="0.3">
      <c r="A11" s="73"/>
      <c r="B11" s="71"/>
      <c r="C11" s="71"/>
      <c r="D11" s="47"/>
      <c r="E11" s="47"/>
      <c r="F11" s="47"/>
      <c r="G11" s="25" t="s">
        <v>48</v>
      </c>
      <c r="H11" s="25" t="s">
        <v>52</v>
      </c>
      <c r="I11" s="25"/>
      <c r="J11" s="71"/>
      <c r="K11" s="25"/>
      <c r="L11" s="47"/>
      <c r="M11" s="66"/>
    </row>
    <row r="12" spans="1:14" ht="108" customHeight="1" thickTop="1" thickBot="1" x14ac:dyDescent="0.3">
      <c r="A12" s="73"/>
      <c r="B12" s="26" t="str">
        <f>_xlfn.CONCAT("Buscar ",B2)</f>
        <v>Buscar Residente</v>
      </c>
      <c r="C12" s="26" t="str">
        <f>_xlfn.CONCAT("Acción de buscar la información asociada a un ",B2," del conjunto residencial.")</f>
        <v>Acción de buscar la información asociada a un Residente del conjunto residencial.</v>
      </c>
      <c r="D12" s="47"/>
      <c r="E12" s="47"/>
      <c r="F12" s="47"/>
      <c r="G12" s="27" t="s">
        <v>53</v>
      </c>
      <c r="H12" s="26" t="s">
        <v>51</v>
      </c>
      <c r="I12" s="26"/>
      <c r="J12" s="28" t="str">
        <f>_xlfn.CONCAT(B2," buscado")</f>
        <v>Residente buscado</v>
      </c>
      <c r="K12" s="26"/>
      <c r="L12" s="47"/>
      <c r="M12" s="26" t="str">
        <f>_xlfn.CONCAT("Modificar ",$B$2)</f>
        <v>Modificar Residente</v>
      </c>
    </row>
    <row r="13" spans="1:14" ht="75" customHeight="1" thickTop="1" thickBot="1" x14ac:dyDescent="0.3">
      <c r="A13" s="73"/>
      <c r="B13" s="46" t="str">
        <f>_xlfn.CONCAT("Eliminar ",B2)</f>
        <v>Eliminar Residente</v>
      </c>
      <c r="C13" s="46" t="str">
        <f>_xlfn.CONCAT("Acción de eliminar a un ",B2," de un conjunto residencial.")</f>
        <v>Acción de eliminar a un Residente de un conjunto residencial.</v>
      </c>
      <c r="D13" s="47"/>
      <c r="E13" s="47"/>
      <c r="F13" s="47"/>
      <c r="G13" s="29" t="s">
        <v>54</v>
      </c>
      <c r="H13" s="29" t="s">
        <v>56</v>
      </c>
      <c r="I13" s="29"/>
      <c r="J13" s="46" t="str">
        <f>_xlfn.CONCAT(B2," eliminado")</f>
        <v>Residente eliminado</v>
      </c>
      <c r="K13" s="29"/>
      <c r="L13" s="47"/>
      <c r="M13" s="67" t="str">
        <f>_xlfn.CONCAT("Crear ",$B$2)</f>
        <v>Crear Residente</v>
      </c>
    </row>
    <row r="14" spans="1:14" ht="61.5" thickTop="1" thickBot="1" x14ac:dyDescent="0.3">
      <c r="A14" s="74"/>
      <c r="B14" s="46"/>
      <c r="C14" s="46"/>
      <c r="D14" s="47"/>
      <c r="E14" s="47"/>
      <c r="F14" s="47"/>
      <c r="G14" s="30" t="s">
        <v>55</v>
      </c>
      <c r="H14" s="31" t="s">
        <v>57</v>
      </c>
      <c r="I14" s="30"/>
      <c r="J14" s="46"/>
      <c r="K14" s="30"/>
      <c r="L14" s="47"/>
      <c r="M14" s="68"/>
    </row>
    <row r="15" spans="1:14" ht="30" customHeight="1" thickTop="1" thickBot="1" x14ac:dyDescent="0.3">
      <c r="A15" s="47" t="s">
        <v>58</v>
      </c>
      <c r="B15" s="69" t="s">
        <v>59</v>
      </c>
      <c r="C15" s="69" t="str">
        <f>_xlfn.CONCAT("Acción de vinvular a un ",B2," de un conjunto residencial.")</f>
        <v>Acción de vinvular a un Residente de un conjunto residencial.</v>
      </c>
      <c r="D15" s="47"/>
      <c r="E15" s="47"/>
      <c r="F15" s="47"/>
      <c r="G15" s="32" t="s">
        <v>61</v>
      </c>
      <c r="H15" s="33" t="s">
        <v>65</v>
      </c>
      <c r="I15" s="32"/>
      <c r="J15" s="63" t="s">
        <v>68</v>
      </c>
      <c r="K15" s="32"/>
      <c r="L15" s="32" t="s">
        <v>70</v>
      </c>
      <c r="M15" s="63" t="s">
        <v>60</v>
      </c>
    </row>
    <row r="16" spans="1:14" ht="31.5" thickTop="1" thickBot="1" x14ac:dyDescent="0.3">
      <c r="A16" s="47"/>
      <c r="B16" s="69"/>
      <c r="C16" s="69"/>
      <c r="D16" s="47"/>
      <c r="E16" s="47"/>
      <c r="F16" s="47"/>
      <c r="G16" s="32" t="s">
        <v>62</v>
      </c>
      <c r="H16" s="33" t="s">
        <v>66</v>
      </c>
      <c r="I16" s="32"/>
      <c r="J16" s="63"/>
      <c r="K16" s="32"/>
      <c r="L16" s="32" t="s">
        <v>71</v>
      </c>
      <c r="M16" s="63"/>
    </row>
    <row r="17" spans="1:13" ht="49.5" customHeight="1" thickTop="1" thickBot="1" x14ac:dyDescent="0.3">
      <c r="A17" s="47"/>
      <c r="B17" s="70" t="s">
        <v>60</v>
      </c>
      <c r="C17" s="70" t="str">
        <f>_xlfn.CONCAT("Acción de desvincular a un ",B2," de un conjunto residencial.")</f>
        <v>Acción de desvincular a un Residente de un conjunto residencial.</v>
      </c>
      <c r="D17" s="47"/>
      <c r="E17" s="47"/>
      <c r="F17" s="47"/>
      <c r="G17" s="34" t="s">
        <v>63</v>
      </c>
      <c r="H17" s="35" t="s">
        <v>67</v>
      </c>
      <c r="I17" s="34"/>
      <c r="J17" s="64" t="s">
        <v>69</v>
      </c>
      <c r="K17" s="34"/>
      <c r="L17" s="64" t="s">
        <v>68</v>
      </c>
      <c r="M17" s="34" t="s">
        <v>73</v>
      </c>
    </row>
    <row r="18" spans="1:13" ht="76.5" customHeight="1" thickTop="1" thickBot="1" x14ac:dyDescent="0.3">
      <c r="A18" s="47"/>
      <c r="B18" s="70"/>
      <c r="C18" s="70"/>
      <c r="D18" s="47"/>
      <c r="E18" s="47"/>
      <c r="F18" s="47"/>
      <c r="G18" s="34" t="s">
        <v>64</v>
      </c>
      <c r="H18" s="35" t="s">
        <v>72</v>
      </c>
      <c r="I18" s="34"/>
      <c r="J18" s="64"/>
      <c r="K18" s="34"/>
      <c r="L18" s="64"/>
      <c r="M18" s="34" t="s">
        <v>74</v>
      </c>
    </row>
    <row r="19" spans="1:13" ht="15.75" thickTop="1" x14ac:dyDescent="0.25"/>
  </sheetData>
  <mergeCells count="45">
    <mergeCell ref="A1:N1"/>
    <mergeCell ref="B2:M2"/>
    <mergeCell ref="B3:M3"/>
    <mergeCell ref="B4:C4"/>
    <mergeCell ref="E4:F4"/>
    <mergeCell ref="G4:H4"/>
    <mergeCell ref="L4:L6"/>
    <mergeCell ref="M4:M6"/>
    <mergeCell ref="A5:A6"/>
    <mergeCell ref="B5:B6"/>
    <mergeCell ref="K5:K6"/>
    <mergeCell ref="J5:J6"/>
    <mergeCell ref="L7:L9"/>
    <mergeCell ref="I7:I9"/>
    <mergeCell ref="C5:C6"/>
    <mergeCell ref="D5:D6"/>
    <mergeCell ref="E5:F5"/>
    <mergeCell ref="G5:H5"/>
    <mergeCell ref="I5:I6"/>
    <mergeCell ref="C7:C9"/>
    <mergeCell ref="A7:A14"/>
    <mergeCell ref="B10:B11"/>
    <mergeCell ref="C10:C11"/>
    <mergeCell ref="J7:J9"/>
    <mergeCell ref="K7:K9"/>
    <mergeCell ref="B7:B9"/>
    <mergeCell ref="B13:B14"/>
    <mergeCell ref="C13:C14"/>
    <mergeCell ref="D7:D18"/>
    <mergeCell ref="E7:E18"/>
    <mergeCell ref="F7:F18"/>
    <mergeCell ref="B15:B16"/>
    <mergeCell ref="C15:C16"/>
    <mergeCell ref="B17:B18"/>
    <mergeCell ref="C17:C18"/>
    <mergeCell ref="A15:A18"/>
    <mergeCell ref="L10:L14"/>
    <mergeCell ref="J15:J16"/>
    <mergeCell ref="J17:J18"/>
    <mergeCell ref="M15:M16"/>
    <mergeCell ref="L17:L18"/>
    <mergeCell ref="M10:M11"/>
    <mergeCell ref="M13:M14"/>
    <mergeCell ref="J10:J11"/>
    <mergeCell ref="J13:J14"/>
  </mergeCells>
  <hyperlinks>
    <hyperlink ref="A1" location="'Objetos de Dominio'!A1" display="Volver al inicio" xr:uid="{42C7641C-3E53-48C3-9D18-BDDC9B9DD3BA}"/>
    <hyperlink ref="A1:N1" location="'Listado Objetos de Dominio'!A1" display="&lt;-Volver al inicio" xr:uid="{1174DD99-6366-4E28-A2AC-9EE1CA88DF1F}"/>
    <hyperlink ref="D1" location="'Listado Objetos de Dominio'!A1" display="&lt;-Volver al inicio" xr:uid="{275CB02C-65E7-4063-9E9D-E27E116C01C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79D002CEC08F42B7087C30E58D0266" ma:contentTypeVersion="4" ma:contentTypeDescription="Create a new document." ma:contentTypeScope="" ma:versionID="e5713f579c7011938dc4987ae8981b8f">
  <xsd:schema xmlns:xsd="http://www.w3.org/2001/XMLSchema" xmlns:xs="http://www.w3.org/2001/XMLSchema" xmlns:p="http://schemas.microsoft.com/office/2006/metadata/properties" xmlns:ns2="3219184d-29ab-4105-b29c-8e343e335d59" targetNamespace="http://schemas.microsoft.com/office/2006/metadata/properties" ma:root="true" ma:fieldsID="ae0a0ff84a3c6712467f60982d6e378d" ns2:_="">
    <xsd:import namespace="3219184d-29ab-4105-b29c-8e343e335d5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19184d-29ab-4105-b29c-8e343e335d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EECCE0-61F9-4782-94C5-382F8EFF45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19184d-29ab-4105-b29c-8e343e335d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038022-656B-4A1B-A485-51A1972238BD}">
  <ds:schemaRefs>
    <ds:schemaRef ds:uri="http://purl.org/dc/dcmitype/"/>
    <ds:schemaRef ds:uri="http://schemas.microsoft.com/office/infopath/2007/PartnerControls"/>
    <ds:schemaRef ds:uri="http://purl.org/dc/elements/1.1/"/>
    <ds:schemaRef ds:uri="http://schemas.microsoft.com/office/2006/metadata/properties"/>
    <ds:schemaRef ds:uri="ff57c5a0-3efd-4333-8513-2b909ca014ae"/>
    <ds:schemaRef ds:uri="0d2457a1-fe8a-4cb2-a5c3-c59e87d2493e"/>
    <ds:schemaRef ds:uri="http://purl.org/dc/terms/"/>
    <ds:schemaRef ds:uri="http://schemas.openxmlformats.org/package/2006/metadata/core-properties"/>
    <ds:schemaRef ds:uri="http://schemas.microsoft.com/office/2006/documentManagement/types"/>
    <ds:schemaRef ds:uri="http://www.w3.org/XML/1998/namespace"/>
  </ds:schemaRefs>
</ds:datastoreItem>
</file>

<file path=customXml/itemProps3.xml><?xml version="1.0" encoding="utf-8"?>
<ds:datastoreItem xmlns:ds="http://schemas.openxmlformats.org/officeDocument/2006/customXml" ds:itemID="{6724C681-8A04-4D66-BB1C-57F7466573C0}">
  <ds:schemaRefs>
    <ds:schemaRef ds:uri="http://schemas.microsoft.com/sharepoint/v3/contenttype/forms"/>
  </ds:schemaRefs>
</ds:datastoreItem>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Flujo de eventos en el tiempo</vt:lpstr>
      <vt:lpstr>Listado Objetos de Dominio</vt:lpstr>
      <vt:lpstr>Inmueble</vt:lpstr>
      <vt:lpstr>Residente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Luciana Sánchez Arias</dc:creator>
  <cp:keywords/>
  <dc:description/>
  <cp:lastModifiedBy>Andres Felipe Velez Alcaraz</cp:lastModifiedBy>
  <cp:revision/>
  <dcterms:created xsi:type="dcterms:W3CDTF">2023-03-15T04:00:09Z</dcterms:created>
  <dcterms:modified xsi:type="dcterms:W3CDTF">2024-11-03T14:28:10Z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86cab09b-e61a-4c01-96e7-67fc9e3d8cd5_Enabled">
    <vt:lpwstr>true</vt:lpwstr>
  </property>
  <property fmtid="{D5CDD505-2E9C-101B-9397-08002B2CF9AE}" pid="5" name="MSIP_Label_86cab09b-e61a-4c01-96e7-67fc9e3d8cd5_SetDate">
    <vt:lpwstr>2023-03-15T04:21:21Z</vt:lpwstr>
  </property>
  <property fmtid="{D5CDD505-2E9C-101B-9397-08002B2CF9AE}" pid="6" name="MSIP_Label_86cab09b-e61a-4c01-96e7-67fc9e3d8cd5_Method">
    <vt:lpwstr>Standard</vt:lpwstr>
  </property>
  <property fmtid="{D5CDD505-2E9C-101B-9397-08002B2CF9AE}" pid="7" name="MSIP_Label_86cab09b-e61a-4c01-96e7-67fc9e3d8cd5_Name">
    <vt:lpwstr>Todos los Empleados</vt:lpwstr>
  </property>
  <property fmtid="{D5CDD505-2E9C-101B-9397-08002B2CF9AE}" pid="8" name="MSIP_Label_86cab09b-e61a-4c01-96e7-67fc9e3d8cd5_SiteId">
    <vt:lpwstr>bf1ce8b5-5d39-4bc5-ad6e-07b3e4d7d67a</vt:lpwstr>
  </property>
  <property fmtid="{D5CDD505-2E9C-101B-9397-08002B2CF9AE}" pid="9" name="MSIP_Label_86cab09b-e61a-4c01-96e7-67fc9e3d8cd5_ActionId">
    <vt:lpwstr>1284b033-3469-4be1-8291-3532cb7ee350</vt:lpwstr>
  </property>
  <property fmtid="{D5CDD505-2E9C-101B-9397-08002B2CF9AE}" pid="10" name="MSIP_Label_86cab09b-e61a-4c01-96e7-67fc9e3d8cd5_ContentBits">
    <vt:lpwstr>8</vt:lpwstr>
  </property>
  <property fmtid="{D5CDD505-2E9C-101B-9397-08002B2CF9AE}" pid="11" name="ContentTypeId">
    <vt:lpwstr>0x010100C279D002CEC08F42B7087C30E58D0266</vt:lpwstr>
  </property>
  <property fmtid="{D5CDD505-2E9C-101B-9397-08002B2CF9AE}" pid="12" name="MediaServiceImageTags">
    <vt:lpwstr/>
  </property>
</Properties>
</file>