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sez\Documents\Universidad IngeSistemas\Diseño Orientado a Objetos(DOO)\VictusProyect\victus-doc\Doo-Doc\Nueva Version Victus\Event Storming\"/>
    </mc:Choice>
  </mc:AlternateContent>
  <xr:revisionPtr revIDLastSave="0" documentId="13_ncr:1_{1E97B327-484E-4005-BBDA-884EC5281004}" xr6:coauthVersionLast="47" xr6:coauthVersionMax="47" xr10:uidLastSave="{00000000-0000-0000-0000-000000000000}"/>
  <bookViews>
    <workbookView xWindow="-108" yWindow="-108" windowWidth="23256" windowHeight="12456" activeTab="3" xr2:uid="{36012E7C-B3F4-482B-AC16-7CCB81B9AE88}"/>
  </bookViews>
  <sheets>
    <sheet name="Flujo de eventos en el tiempo" sheetId="61" r:id="rId1"/>
    <sheet name="Listado Objetos de Dominio" sheetId="67" r:id="rId2"/>
    <sheet name="Turno" sheetId="24" r:id="rId3"/>
    <sheet name="Residente" sheetId="68" r:id="rId4"/>
    <sheet name="Reserva" sheetId="69" r:id="rId5"/>
  </sheets>
  <definedNames>
    <definedName name="_xlnm._FilterDatabase" localSheetId="1" hidden="1">'Listado Objetos de Dominio'!$A$3:$B$6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4" l="1"/>
  <c r="B2" i="24"/>
  <c r="B3" i="69"/>
  <c r="B2" i="69"/>
  <c r="B3" i="68" l="1"/>
  <c r="B2" i="68"/>
  <c r="M15" i="68" l="1"/>
  <c r="C17" i="68"/>
  <c r="J15" i="68"/>
  <c r="C15" i="68"/>
  <c r="B15" i="68"/>
  <c r="L7" i="68"/>
  <c r="L13" i="68"/>
  <c r="C13" i="68"/>
  <c r="M13" i="68"/>
  <c r="C7" i="68"/>
  <c r="D7" i="68"/>
  <c r="M9" i="68"/>
  <c r="B13" i="68"/>
  <c r="J7" i="68"/>
  <c r="M8" i="68"/>
  <c r="J13" i="68"/>
  <c r="D4" i="6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WIDER FARID SANCHEZ GARZON</author>
  </authors>
  <commentList>
    <comment ref="C3" authorId="0" shapeId="0" xr:uid="{D186447A-5023-4682-B892-AD2B269570CB}">
      <text>
        <r>
          <rPr>
            <b/>
            <sz val="9"/>
            <color indexed="81"/>
            <rFont val="Tahoma"/>
            <family val="2"/>
          </rPr>
          <t>WIDER FARID SANCHEZ GARZON:</t>
        </r>
        <r>
          <rPr>
            <sz val="9"/>
            <color indexed="81"/>
            <rFont val="Tahoma"/>
            <family val="2"/>
          </rPr>
          <t xml:space="preserve">
Propio: Es parte del contexto actual.
Referenciado: No es parte del contexto actual y represente a una vista materializada, vista parcializada o enlace de interacción con otro contexto.</t>
        </r>
      </text>
    </comment>
  </commentList>
</comments>
</file>

<file path=xl/sharedStrings.xml><?xml version="1.0" encoding="utf-8"?>
<sst xmlns="http://schemas.openxmlformats.org/spreadsheetml/2006/main" count="255" uniqueCount="153">
  <si>
    <t>Descripción</t>
  </si>
  <si>
    <t>&lt;-Volver al inicio</t>
  </si>
  <si>
    <t>Objeto de Dominio:</t>
  </si>
  <si>
    <t>Descripción:</t>
  </si>
  <si>
    <t>Nombre</t>
  </si>
  <si>
    <t>Actor</t>
  </si>
  <si>
    <t>Acción</t>
  </si>
  <si>
    <t>Políticas</t>
  </si>
  <si>
    <t>Evento</t>
  </si>
  <si>
    <t>Número</t>
  </si>
  <si>
    <t>Aspectos por solucionar</t>
  </si>
  <si>
    <t>Domain Event</t>
  </si>
  <si>
    <t>Action/Command</t>
  </si>
  <si>
    <t>Business Rule/Policy</t>
  </si>
  <si>
    <t>External System</t>
  </si>
  <si>
    <t>Sistema Externo</t>
  </si>
  <si>
    <t>Hotspot/questions/Risk</t>
  </si>
  <si>
    <t>Eventos Previos</t>
  </si>
  <si>
    <t>Comandos Posteriores</t>
  </si>
  <si>
    <t>Read Model</t>
  </si>
  <si>
    <t>Información externa</t>
  </si>
  <si>
    <t>Información</t>
  </si>
  <si>
    <t>Entity/Aggregate/Object domain</t>
  </si>
  <si>
    <t>Objeto de dominio</t>
  </si>
  <si>
    <t>TipoObjetoDominio</t>
  </si>
  <si>
    <t>Contexto</t>
  </si>
  <si>
    <t>Propio</t>
  </si>
  <si>
    <t>Nombre contexto</t>
  </si>
  <si>
    <t>Descripción contexto</t>
  </si>
  <si>
    <t>Reservas</t>
  </si>
  <si>
    <t>Referenciado</t>
  </si>
  <si>
    <t>Turno</t>
  </si>
  <si>
    <t>Residente</t>
  </si>
  <si>
    <t>Reserva</t>
  </si>
  <si>
    <t>Turno creado</t>
  </si>
  <si>
    <t>Turno eliminado</t>
  </si>
  <si>
    <t>Reserva creada</t>
  </si>
  <si>
    <t>Reserva buscada</t>
  </si>
  <si>
    <t>Reserva cancelada</t>
  </si>
  <si>
    <t>Administrador</t>
  </si>
  <si>
    <t>Crear turno</t>
  </si>
  <si>
    <t>Acción de crear un turno con horarios definidos.</t>
  </si>
  <si>
    <t>Información agenda</t>
  </si>
  <si>
    <t>Información de la agenda a la cual se encuentra asociado el turno.</t>
  </si>
  <si>
    <t>Turno-Pol-0001</t>
  </si>
  <si>
    <t>Modificar turno</t>
  </si>
  <si>
    <t>Turno-Pol-0002</t>
  </si>
  <si>
    <t>Acción de modificar un turno especifico</t>
  </si>
  <si>
    <t>Turno modificado</t>
  </si>
  <si>
    <t>Acción de eliminar un turno</t>
  </si>
  <si>
    <t>Crear reserva</t>
  </si>
  <si>
    <t>Acción de crear una reserva para una zona común.</t>
  </si>
  <si>
    <t>información del residente el cual esta haciendo la reserva.</t>
  </si>
  <si>
    <t>información de la zona comun el cual esta haciendo la reserva.</t>
  </si>
  <si>
    <t>Reser-Pol0001</t>
  </si>
  <si>
    <t>No es permitido reservar en dias de mantenimiento de una zona.</t>
  </si>
  <si>
    <t>Reser-Pol0002</t>
  </si>
  <si>
    <t>No es permitido tener mas de una reserva con el mismo numero ID.</t>
  </si>
  <si>
    <t>Reser-Pol0003</t>
  </si>
  <si>
    <t xml:space="preserve">No esta permitido que el residente se pase de las horas diarias permitidas por reserva. </t>
  </si>
  <si>
    <t>Buscar reserva</t>
  </si>
  <si>
    <t>Acción de buscar toda la información de una reserva.</t>
  </si>
  <si>
    <t>Acción de modificar una reserva.</t>
  </si>
  <si>
    <t>Cancelar reserva</t>
  </si>
  <si>
    <t>Acción de cancelar una reserva.</t>
  </si>
  <si>
    <t>Reserva eliminada</t>
  </si>
  <si>
    <t>Modificar Reserva</t>
  </si>
  <si>
    <t>Eliminar reserva</t>
  </si>
  <si>
    <t>Resid-Pol0001</t>
  </si>
  <si>
    <t>Asegurar que los datos requeridos para registrar la información del nuevo residente sean válidos a nivel de tipo de dato,formato, rango, longitud y obligatoriedad.</t>
  </si>
  <si>
    <t>Resid-Pol0002</t>
  </si>
  <si>
    <t>Resid-Pol0003</t>
  </si>
  <si>
    <t>Resid-Pol0004</t>
  </si>
  <si>
    <t>Registrar turno</t>
  </si>
  <si>
    <t>Turno Dado de baja</t>
  </si>
  <si>
    <t xml:space="preserve">Buscar turno </t>
  </si>
  <si>
    <t>Acción de buscar un turno</t>
  </si>
  <si>
    <t>Turno Buscado</t>
  </si>
  <si>
    <t>Objeto de dominio que representa a un residente que vive dentro de un inmueble en un conjunto residencial</t>
  </si>
  <si>
    <t>Objeto de dominio que representa uno de los turnos que representan un bloque de tiempo que el residente podrá reservar.</t>
  </si>
  <si>
    <t>Objeto de dominio que representa a cada una de las reservas creadas por los residente según una zona comun que esta condicionada con una agenda y según la disponibilidad de turno poder reservar el espacio.</t>
  </si>
  <si>
    <t>Registrar reserva</t>
  </si>
  <si>
    <t>Reserva registrada</t>
  </si>
  <si>
    <t>Modificar reserva</t>
  </si>
  <si>
    <t>Reserva modificada</t>
  </si>
  <si>
    <t>Reser-Pol0004</t>
  </si>
  <si>
    <t>Reser-Pol0005</t>
  </si>
  <si>
    <t>No es posible tener dos reserva con un mismo turno para el mismo residente.</t>
  </si>
  <si>
    <t>Contexto cuya intención enfocarse en la gestión del proceso de reservas de los recursos, incluyendo la disponibilidad de los recursos y las reservas que los residentes realizan.</t>
  </si>
  <si>
    <t>La combinación de numeroTurno, horaInicio, horaFin y agenda debe ser única.</t>
  </si>
  <si>
    <t>Las horas de inicio y fin deben ser válidas y no superponerse con otros turnos en la agenda.</t>
  </si>
  <si>
    <t>Turno-Pol-0003</t>
  </si>
  <si>
    <t>Turno-Pol-0004</t>
  </si>
  <si>
    <t>El Turno debe existir.</t>
  </si>
  <si>
    <t>Si se cambia la combinación de numeroTurno, horaInicio, horaFin y agenda, esta debe ser única y no superponerse con otros turnos.</t>
  </si>
  <si>
    <t xml:space="preserve">Eliminar turno </t>
  </si>
  <si>
    <t>Turno-Pol0005</t>
  </si>
  <si>
    <t>Turno-Pol0006</t>
  </si>
  <si>
    <t>Verificar que el turno no esté en uso o reservado antes de eliminarlo (si aplica la política).</t>
  </si>
  <si>
    <t>El turno debe existir.</t>
  </si>
  <si>
    <t>Turno-Pol-0007</t>
  </si>
  <si>
    <t>Usuario</t>
  </si>
  <si>
    <t>Reservar turno</t>
  </si>
  <si>
    <t>acción de reservar un cupo disponible llamado turno.</t>
  </si>
  <si>
    <t>Turno-Pol-0008</t>
  </si>
  <si>
    <t>Turno-Pol-0009</t>
  </si>
  <si>
    <t>El Turno debe estar en estado disponible para reserva.</t>
  </si>
  <si>
    <t>Turno-Pol-0010</t>
  </si>
  <si>
    <t>El usuario debe cumplir con las condiciones de la agenda (como tipo de usuario, límite de reservas, etc.).</t>
  </si>
  <si>
    <t>Turno reservado.</t>
  </si>
  <si>
    <t>Cancelar revarción del turno.</t>
  </si>
  <si>
    <t>Turno-Pol-0011</t>
  </si>
  <si>
    <t>CancelarReservaTurno</t>
  </si>
  <si>
    <t>acción de cancelar una reserva de un turno.</t>
  </si>
  <si>
    <t>El turno debe estar reservado por el Usuario que lo solicita.</t>
  </si>
  <si>
    <t>Cumplir con las políticas de cancelación (como tiempo límite antes de la hora de inicio).</t>
  </si>
  <si>
    <t>Turno calcelado.</t>
  </si>
  <si>
    <t>Turno reservado</t>
  </si>
  <si>
    <t>Reservar turno.</t>
  </si>
  <si>
    <t>RegistrarResidente</t>
  </si>
  <si>
    <r>
      <t xml:space="preserve">La combinación de </t>
    </r>
    <r>
      <rPr>
        <sz val="10"/>
        <color theme="1"/>
        <rFont val="Arial Unicode MS"/>
      </rPr>
      <t>tipoDocumento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numeroDocumento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numeroContacto</t>
    </r>
    <r>
      <rPr>
        <sz val="11"/>
        <color theme="1"/>
        <rFont val="Calibri"/>
        <family val="2"/>
        <scheme val="minor"/>
      </rPr>
      <t xml:space="preserve"> y </t>
    </r>
    <r>
      <rPr>
        <sz val="10"/>
        <color theme="1"/>
        <rFont val="Arial Unicode MS"/>
      </rPr>
      <t>inmueble</t>
    </r>
    <r>
      <rPr>
        <sz val="11"/>
        <color theme="1"/>
        <rFont val="Calibri"/>
        <family val="2"/>
        <scheme val="minor"/>
      </rPr>
      <t xml:space="preserve"> debe ser única.</t>
    </r>
  </si>
  <si>
    <r>
      <t xml:space="preserve">La </t>
    </r>
    <r>
      <rPr>
        <sz val="10"/>
        <color theme="1"/>
        <rFont val="Arial Unicode MS"/>
      </rPr>
      <t>fechaNacimiento</t>
    </r>
    <r>
      <rPr>
        <sz val="11"/>
        <color theme="1"/>
        <rFont val="Calibri"/>
        <family val="2"/>
        <scheme val="minor"/>
      </rPr>
      <t xml:space="preserve"> debe indicar mayoría de edad (si aplica la política).</t>
    </r>
  </si>
  <si>
    <t>El Residente debe existir.</t>
  </si>
  <si>
    <t>Si se cambian atributos como tipoDocumento, numeroDocumento, numeroContacto o inmueble, la combinación debe seguir siendo única.</t>
  </si>
  <si>
    <t>Modificar Residente</t>
  </si>
  <si>
    <t>Información Residentes</t>
  </si>
  <si>
    <t>Resid-Pol0005</t>
  </si>
  <si>
    <t>Resid-Pol0006</t>
  </si>
  <si>
    <r>
      <t xml:space="preserve">El </t>
    </r>
    <r>
      <rPr>
        <sz val="10"/>
        <color theme="1"/>
        <rFont val="Arial Unicode MS"/>
      </rPr>
      <t>Residente</t>
    </r>
    <r>
      <rPr>
        <sz val="11"/>
        <color theme="1"/>
        <rFont val="Calibri"/>
        <family val="2"/>
        <scheme val="minor"/>
      </rPr>
      <t xml:space="preserve"> debe existir.</t>
    </r>
  </si>
  <si>
    <t>Verificar que no haya dependencias en otros sistemas o contextos (como reservas de zonas comunes) antes de eliminar al residente.</t>
  </si>
  <si>
    <t>Residente registrado</t>
  </si>
  <si>
    <t>Actualizar datos de contacto</t>
  </si>
  <si>
    <t>información del residente de un conjunto residencial.</t>
  </si>
  <si>
    <t>Resid-Pol0007</t>
  </si>
  <si>
    <t>Resid-Pol0008</t>
  </si>
  <si>
    <t>Resid-Pol0009</t>
  </si>
  <si>
    <t>Resid-Pol0011</t>
  </si>
  <si>
    <r>
      <t xml:space="preserve">El </t>
    </r>
    <r>
      <rPr>
        <sz val="10"/>
        <color theme="1"/>
        <rFont val="Arial Unicode MS"/>
      </rPr>
      <t>Residente</t>
    </r>
    <r>
      <rPr>
        <sz val="11"/>
        <color theme="1"/>
        <rFont val="Calibri"/>
        <family val="2"/>
        <scheme val="minor"/>
      </rPr>
      <t xml:space="preserve"> debe estar autenticado.</t>
    </r>
  </si>
  <si>
    <t>El numeroContacto y correoElectronico deben ser válidos y únicos dentro del contexto.</t>
  </si>
  <si>
    <t>Datos actualizados</t>
  </si>
  <si>
    <t>Actualizar datos de contacto.</t>
  </si>
  <si>
    <t>Cambiar Contrasena</t>
  </si>
  <si>
    <t>Acción de actualizar la contraseña de un residente de un conjunto residencial</t>
  </si>
  <si>
    <r>
      <t xml:space="preserve">El </t>
    </r>
    <r>
      <rPr>
        <sz val="10"/>
        <color theme="1"/>
        <rFont val="Arial Unicode MS"/>
      </rPr>
      <t>Residente</t>
    </r>
    <r>
      <rPr>
        <sz val="11"/>
        <color theme="1"/>
        <rFont val="Calibri"/>
        <family val="2"/>
        <scheme val="minor"/>
      </rPr>
      <t xml:space="preserve"> debe estar autenticado y la </t>
    </r>
    <r>
      <rPr>
        <sz val="10"/>
        <color theme="1"/>
        <rFont val="Arial Unicode MS"/>
      </rPr>
      <t>contraseña</t>
    </r>
    <r>
      <rPr>
        <sz val="11"/>
        <color theme="1"/>
        <rFont val="Calibri"/>
        <family val="2"/>
        <scheme val="minor"/>
      </rPr>
      <t xml:space="preserve"> actual debe ser correcta.</t>
    </r>
  </si>
  <si>
    <t>La nueva contraseña debe cumplir con las políticas de seguridad establecidas.</t>
  </si>
  <si>
    <t>Contraseña actualizada</t>
  </si>
  <si>
    <t>Cambiar contraseña</t>
  </si>
  <si>
    <t>Buscar Residente</t>
  </si>
  <si>
    <t>Acción de buscar un residente de un conjunto residencial</t>
  </si>
  <si>
    <t>Resid-Pol00010</t>
  </si>
  <si>
    <t xml:space="preserve"> El Residente debe existir.</t>
  </si>
  <si>
    <t>Residente Buscado</t>
  </si>
  <si>
    <t>Eliminar Residente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</si>
</sst>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sz val="10"/>
      <color theme="1"/>
      <name val="Arial Unicode MS"/>
    </font>
  </fonts>
  <fills count="2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CFCAA"/>
        <bgColor indexed="64"/>
      </patternFill>
    </fill>
    <fill>
      <patternFill patternType="solid">
        <fgColor rgb="FFFDD3FA"/>
        <bgColor indexed="64"/>
      </patternFill>
    </fill>
    <fill>
      <patternFill patternType="solid">
        <fgColor rgb="FFFA90B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3895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1EE5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39">
    <xf numFmtId="0" fontId="0" fillId="0" borderId="0" xfId="0"/>
    <xf numFmtId="0" fontId="0" fillId="0" borderId="0" xfId="0" applyAlignment="1">
      <alignment vertical="center"/>
    </xf>
    <xf numFmtId="0" fontId="0" fillId="2" borderId="0" xfId="0" applyFill="1"/>
    <xf numFmtId="0" fontId="3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4" fillId="7" borderId="2" xfId="0" applyFont="1" applyFill="1" applyBorder="1" applyAlignment="1">
      <alignment vertical="center"/>
    </xf>
    <xf numFmtId="0" fontId="4" fillId="7" borderId="5" xfId="0" applyFont="1" applyFill="1" applyBorder="1" applyAlignment="1">
      <alignment vertical="center"/>
    </xf>
    <xf numFmtId="0" fontId="4" fillId="8" borderId="1" xfId="0" applyFont="1" applyFill="1" applyBorder="1" applyAlignment="1">
      <alignment horizontal="center" vertical="center"/>
    </xf>
    <xf numFmtId="0" fontId="4" fillId="9" borderId="5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2" fillId="4" borderId="5" xfId="1" applyFill="1" applyBorder="1" applyAlignment="1">
      <alignment vertical="center"/>
    </xf>
    <xf numFmtId="0" fontId="2" fillId="4" borderId="7" xfId="1" applyFill="1" applyBorder="1" applyAlignment="1">
      <alignment vertical="center"/>
    </xf>
    <xf numFmtId="0" fontId="4" fillId="15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0" fontId="1" fillId="16" borderId="2" xfId="0" applyFont="1" applyFill="1" applyBorder="1" applyAlignment="1">
      <alignment vertical="center"/>
    </xf>
    <xf numFmtId="0" fontId="1" fillId="16" borderId="5" xfId="0" applyFont="1" applyFill="1" applyBorder="1" applyAlignment="1">
      <alignment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vertical="center"/>
    </xf>
    <xf numFmtId="0" fontId="0" fillId="4" borderId="8" xfId="0" applyFill="1" applyBorder="1" applyAlignment="1">
      <alignment vertical="center" wrapText="1"/>
    </xf>
    <xf numFmtId="0" fontId="0" fillId="0" borderId="11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4" borderId="1" xfId="0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4" xfId="0" applyBorder="1" applyAlignment="1">
      <alignment vertical="center"/>
    </xf>
    <xf numFmtId="0" fontId="0" fillId="0" borderId="6" xfId="0" applyBorder="1" applyAlignment="1">
      <alignment horizontal="center" vertical="center"/>
    </xf>
    <xf numFmtId="0" fontId="0" fillId="18" borderId="1" xfId="0" applyFill="1" applyBorder="1" applyAlignment="1">
      <alignment horizontal="left" vertical="center" wrapText="1"/>
    </xf>
    <xf numFmtId="0" fontId="0" fillId="10" borderId="1" xfId="0" applyFill="1" applyBorder="1" applyAlignment="1">
      <alignment horizontal="left" vertical="center" wrapText="1"/>
    </xf>
    <xf numFmtId="0" fontId="0" fillId="17" borderId="10" xfId="0" applyFill="1" applyBorder="1" applyAlignment="1">
      <alignment vertical="center" wrapText="1"/>
    </xf>
    <xf numFmtId="0" fontId="0" fillId="18" borderId="1" xfId="0" applyFill="1" applyBorder="1" applyAlignment="1">
      <alignment vertical="center" wrapText="1"/>
    </xf>
    <xf numFmtId="0" fontId="0" fillId="19" borderId="1" xfId="0" applyFill="1" applyBorder="1" applyAlignment="1">
      <alignment vertical="center" wrapText="1"/>
    </xf>
    <xf numFmtId="0" fontId="0" fillId="19" borderId="9" xfId="0" applyFill="1" applyBorder="1" applyAlignment="1">
      <alignment vertical="center"/>
    </xf>
    <xf numFmtId="0" fontId="0" fillId="10" borderId="9" xfId="0" applyFill="1" applyBorder="1" applyAlignment="1">
      <alignment horizontal="left" vertical="center" wrapText="1"/>
    </xf>
    <xf numFmtId="0" fontId="0" fillId="17" borderId="1" xfId="0" applyFill="1" applyBorder="1" applyAlignment="1">
      <alignment vertical="center" wrapText="1"/>
    </xf>
    <xf numFmtId="0" fontId="0" fillId="20" borderId="1" xfId="0" applyFill="1" applyBorder="1" applyAlignment="1">
      <alignment horizontal="center" vertical="center" wrapText="1"/>
    </xf>
    <xf numFmtId="0" fontId="0" fillId="20" borderId="9" xfId="0" applyFill="1" applyBorder="1" applyAlignment="1">
      <alignment vertical="center" wrapText="1"/>
    </xf>
    <xf numFmtId="0" fontId="0" fillId="21" borderId="1" xfId="0" applyFill="1" applyBorder="1" applyAlignment="1">
      <alignment vertical="center" wrapText="1"/>
    </xf>
    <xf numFmtId="0" fontId="0" fillId="21" borderId="1" xfId="0" applyFill="1" applyBorder="1" applyAlignment="1">
      <alignment horizontal="center" vertical="center" wrapText="1"/>
    </xf>
    <xf numFmtId="0" fontId="0" fillId="15" borderId="1" xfId="0" applyFill="1" applyBorder="1" applyAlignment="1">
      <alignment vertical="center" wrapText="1"/>
    </xf>
    <xf numFmtId="0" fontId="0" fillId="15" borderId="0" xfId="0" applyFill="1" applyAlignment="1">
      <alignment wrapText="1"/>
    </xf>
    <xf numFmtId="0" fontId="0" fillId="15" borderId="1" xfId="0" applyFill="1" applyBorder="1" applyAlignment="1">
      <alignment horizontal="left" vertical="center" wrapText="1"/>
    </xf>
    <xf numFmtId="0" fontId="0" fillId="7" borderId="1" xfId="0" applyFill="1" applyBorder="1" applyAlignment="1">
      <alignment horizontal="left" vertical="center" wrapText="1"/>
    </xf>
    <xf numFmtId="0" fontId="0" fillId="20" borderId="1" xfId="0" applyFill="1" applyBorder="1" applyAlignment="1">
      <alignment vertical="center" wrapText="1"/>
    </xf>
    <xf numFmtId="0" fontId="0" fillId="20" borderId="0" xfId="0" applyFill="1"/>
    <xf numFmtId="0" fontId="0" fillId="20" borderId="0" xfId="0" applyFill="1" applyAlignment="1">
      <alignment wrapText="1"/>
    </xf>
    <xf numFmtId="0" fontId="0" fillId="22" borderId="1" xfId="0" applyFill="1" applyBorder="1" applyAlignment="1">
      <alignment horizontal="left" vertical="center" wrapText="1"/>
    </xf>
    <xf numFmtId="0" fontId="0" fillId="22" borderId="0" xfId="0" applyFill="1" applyAlignment="1">
      <alignment vertical="center" wrapText="1"/>
    </xf>
    <xf numFmtId="0" fontId="0" fillId="22" borderId="9" xfId="0" applyFill="1" applyBorder="1" applyAlignment="1">
      <alignment vertical="center" wrapText="1"/>
    </xf>
    <xf numFmtId="0" fontId="0" fillId="22" borderId="1" xfId="0" applyFill="1" applyBorder="1" applyAlignment="1">
      <alignment vertical="center" wrapText="1"/>
    </xf>
    <xf numFmtId="0" fontId="0" fillId="23" borderId="1" xfId="0" applyFill="1" applyBorder="1" applyAlignment="1">
      <alignment horizontal="left" vertical="center" wrapText="1"/>
    </xf>
    <xf numFmtId="0" fontId="0" fillId="23" borderId="0" xfId="0" applyFill="1" applyAlignment="1">
      <alignment wrapText="1"/>
    </xf>
    <xf numFmtId="0" fontId="0" fillId="24" borderId="12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left" vertical="center" wrapText="1"/>
    </xf>
    <xf numFmtId="0" fontId="0" fillId="17" borderId="3" xfId="0" applyFill="1" applyBorder="1" applyAlignment="1">
      <alignment horizontal="left" vertical="center"/>
    </xf>
    <xf numFmtId="0" fontId="0" fillId="17" borderId="4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 wrapText="1"/>
    </xf>
    <xf numFmtId="0" fontId="0" fillId="17" borderId="6" xfId="0" applyFill="1" applyBorder="1" applyAlignment="1">
      <alignment horizontal="left" vertical="center" wrapText="1"/>
    </xf>
    <xf numFmtId="0" fontId="0" fillId="4" borderId="9" xfId="0" applyFill="1" applyBorder="1" applyAlignment="1">
      <alignment horizontal="center" vertical="center" wrapText="1"/>
    </xf>
    <xf numFmtId="0" fontId="0" fillId="4" borderId="12" xfId="0" applyFill="1" applyBorder="1" applyAlignment="1">
      <alignment horizontal="center" vertical="center" wrapText="1"/>
    </xf>
    <xf numFmtId="0" fontId="0" fillId="4" borderId="10" xfId="0" applyFill="1" applyBorder="1" applyAlignment="1">
      <alignment horizontal="center" vertical="center" wrapText="1"/>
    </xf>
    <xf numFmtId="0" fontId="0" fillId="18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19" borderId="1" xfId="0" applyFill="1" applyBorder="1" applyAlignment="1">
      <alignment horizontal="left" vertical="center" wrapText="1"/>
    </xf>
    <xf numFmtId="0" fontId="0" fillId="19" borderId="9" xfId="0" applyFill="1" applyBorder="1" applyAlignment="1">
      <alignment horizontal="center" vertical="center" wrapText="1"/>
    </xf>
    <xf numFmtId="0" fontId="0" fillId="19" borderId="12" xfId="0" applyFill="1" applyBorder="1" applyAlignment="1">
      <alignment horizontal="center" vertical="center" wrapText="1"/>
    </xf>
    <xf numFmtId="0" fontId="0" fillId="19" borderId="10" xfId="0" applyFill="1" applyBorder="1" applyAlignment="1">
      <alignment horizontal="center" vertical="center" wrapText="1"/>
    </xf>
    <xf numFmtId="0" fontId="0" fillId="19" borderId="9" xfId="0" applyFill="1" applyBorder="1" applyAlignment="1">
      <alignment horizontal="center" vertical="center"/>
    </xf>
    <xf numFmtId="0" fontId="0" fillId="19" borderId="10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17" borderId="9" xfId="0" applyFill="1" applyBorder="1" applyAlignment="1">
      <alignment horizontal="center" vertical="center" wrapText="1"/>
    </xf>
    <xf numFmtId="0" fontId="0" fillId="17" borderId="10" xfId="0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0" fillId="18" borderId="12" xfId="0" applyFill="1" applyBorder="1" applyAlignment="1">
      <alignment horizontal="center" vertical="center" wrapText="1"/>
    </xf>
    <xf numFmtId="0" fontId="0" fillId="18" borderId="10" xfId="0" applyFill="1" applyBorder="1" applyAlignment="1">
      <alignment horizontal="center" vertical="center" wrapText="1"/>
    </xf>
    <xf numFmtId="0" fontId="2" fillId="0" borderId="0" xfId="1" applyBorder="1" applyAlignment="1">
      <alignment horizontal="left" vertical="center"/>
    </xf>
    <xf numFmtId="0" fontId="3" fillId="4" borderId="3" xfId="0" applyFont="1" applyFill="1" applyBorder="1" applyAlignment="1">
      <alignment horizontal="left" vertical="center"/>
    </xf>
    <xf numFmtId="0" fontId="3" fillId="4" borderId="4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 wrapText="1"/>
    </xf>
    <xf numFmtId="0" fontId="3" fillId="4" borderId="6" xfId="0" applyFont="1" applyFill="1" applyBorder="1" applyAlignment="1">
      <alignment horizontal="left"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/>
    </xf>
    <xf numFmtId="0" fontId="1" fillId="14" borderId="6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15" borderId="9" xfId="0" applyFont="1" applyFill="1" applyBorder="1" applyAlignment="1">
      <alignment horizontal="center" vertical="center" wrapText="1"/>
    </xf>
    <xf numFmtId="0" fontId="4" fillId="15" borderId="10" xfId="0" applyFont="1" applyFill="1" applyBorder="1" applyAlignment="1">
      <alignment horizontal="center" vertical="center" wrapText="1"/>
    </xf>
    <xf numFmtId="0" fontId="4" fillId="9" borderId="5" xfId="0" applyFont="1" applyFill="1" applyBorder="1" applyAlignment="1">
      <alignment horizontal="center" vertical="center"/>
    </xf>
    <xf numFmtId="0" fontId="0" fillId="21" borderId="9" xfId="0" applyFill="1" applyBorder="1" applyAlignment="1">
      <alignment horizontal="center" vertical="center" wrapText="1"/>
    </xf>
    <xf numFmtId="0" fontId="0" fillId="21" borderId="10" xfId="0" applyFill="1" applyBorder="1" applyAlignment="1">
      <alignment horizontal="center" vertical="center" wrapText="1"/>
    </xf>
    <xf numFmtId="0" fontId="0" fillId="20" borderId="9" xfId="0" applyFill="1" applyBorder="1" applyAlignment="1">
      <alignment horizontal="center" vertical="center" wrapText="1"/>
    </xf>
    <xf numFmtId="0" fontId="0" fillId="20" borderId="10" xfId="0" applyFill="1" applyBorder="1" applyAlignment="1">
      <alignment horizontal="center" vertical="center" wrapText="1"/>
    </xf>
    <xf numFmtId="0" fontId="0" fillId="10" borderId="9" xfId="0" applyFill="1" applyBorder="1" applyAlignment="1">
      <alignment horizontal="center" vertical="center" wrapText="1"/>
    </xf>
    <xf numFmtId="0" fontId="0" fillId="10" borderId="10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4" borderId="9" xfId="0" applyFill="1" applyBorder="1" applyAlignment="1">
      <alignment horizontal="center" vertical="center" wrapText="1"/>
    </xf>
    <xf numFmtId="0" fontId="0" fillId="24" borderId="12" xfId="0" applyFill="1" applyBorder="1" applyAlignment="1">
      <alignment horizontal="center" vertical="center" wrapText="1"/>
    </xf>
    <xf numFmtId="0" fontId="0" fillId="24" borderId="10" xfId="0" applyFill="1" applyBorder="1" applyAlignment="1">
      <alignment horizontal="center" vertical="center" wrapText="1"/>
    </xf>
    <xf numFmtId="0" fontId="0" fillId="2" borderId="9" xfId="0" applyFill="1" applyBorder="1" applyAlignment="1">
      <alignment horizontal="center" vertical="center" wrapText="1"/>
    </xf>
    <xf numFmtId="0" fontId="0" fillId="2" borderId="12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0" fontId="0" fillId="24" borderId="9" xfId="0" applyFill="1" applyBorder="1" applyAlignment="1">
      <alignment horizontal="left" vertical="center" wrapText="1"/>
    </xf>
    <xf numFmtId="0" fontId="0" fillId="24" borderId="12" xfId="0" applyFill="1" applyBorder="1" applyAlignment="1">
      <alignment horizontal="left" vertical="center" wrapText="1"/>
    </xf>
    <xf numFmtId="0" fontId="0" fillId="24" borderId="10" xfId="0" applyFill="1" applyBorder="1" applyAlignment="1">
      <alignment horizontal="left" vertical="center" wrapText="1"/>
    </xf>
    <xf numFmtId="0" fontId="0" fillId="20" borderId="9" xfId="0" applyFill="1" applyBorder="1" applyAlignment="1">
      <alignment horizontal="left" vertical="center" wrapText="1"/>
    </xf>
    <xf numFmtId="0" fontId="0" fillId="20" borderId="10" xfId="0" applyFill="1" applyBorder="1" applyAlignment="1">
      <alignment horizontal="left" vertical="center" wrapText="1"/>
    </xf>
    <xf numFmtId="0" fontId="0" fillId="22" borderId="9" xfId="0" applyFill="1" applyBorder="1" applyAlignment="1">
      <alignment horizontal="center" vertical="center" wrapText="1"/>
    </xf>
    <xf numFmtId="0" fontId="0" fillId="22" borderId="10" xfId="0" applyFill="1" applyBorder="1" applyAlignment="1">
      <alignment horizontal="center" vertical="center" wrapText="1"/>
    </xf>
    <xf numFmtId="0" fontId="0" fillId="23" borderId="9" xfId="0" applyFill="1" applyBorder="1" applyAlignment="1">
      <alignment horizontal="center" vertical="center" wrapText="1"/>
    </xf>
    <xf numFmtId="0" fontId="0" fillId="23" borderId="1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10" xfId="0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wrapText="1"/>
    </xf>
    <xf numFmtId="0" fontId="0" fillId="15" borderId="9" xfId="0" applyFill="1" applyBorder="1" applyAlignment="1">
      <alignment horizontal="center" vertical="center" wrapText="1"/>
    </xf>
    <xf numFmtId="0" fontId="0" fillId="15" borderId="10" xfId="0" applyFill="1" applyBorder="1" applyAlignment="1">
      <alignment horizontal="center" vertical="center" wrapText="1"/>
    </xf>
    <xf numFmtId="0" fontId="0" fillId="15" borderId="12" xfId="0" applyFill="1" applyBorder="1" applyAlignment="1">
      <alignment horizontal="center" vertical="center" wrapText="1"/>
    </xf>
    <xf numFmtId="0" fontId="0" fillId="20" borderId="1" xfId="0" applyFill="1" applyBorder="1" applyAlignment="1">
      <alignment horizontal="left" vertical="center" wrapText="1"/>
    </xf>
    <xf numFmtId="0" fontId="0" fillId="20" borderId="1" xfId="0" applyFill="1" applyBorder="1" applyAlignment="1">
      <alignment horizontal="center" vertical="center" wrapText="1"/>
    </xf>
    <xf numFmtId="0" fontId="2" fillId="0" borderId="0" xfId="1" applyFill="1"/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/>
    </xf>
    <xf numFmtId="0" fontId="4" fillId="14" borderId="6" xfId="0" applyFont="1" applyFill="1" applyBorder="1" applyAlignment="1">
      <alignment horizontal="center" vertical="center"/>
    </xf>
  </cellXfs>
  <cellStyles count="3">
    <cellStyle name="Hipervínculo" xfId="1" builtinId="8"/>
    <cellStyle name="Hyperlink" xfId="2" xr:uid="{00000000-000B-0000-0000-000008000000}"/>
    <cellStyle name="Normal" xfId="0" builtinId="0"/>
  </cellStyles>
  <dxfs count="0"/>
  <tableStyles count="0" defaultTableStyle="TableStyleMedium2" defaultPivotStyle="PivotStyleLight16"/>
  <colors>
    <mruColors>
      <color rgb="FFC1EE5C"/>
      <color rgb="FFFDD3FA"/>
      <color rgb="FFC3895D"/>
      <color rgb="FFFA90B1"/>
      <color rgb="FFFDD3DD"/>
      <color rgb="FFFCFCAA"/>
      <color rgb="FFCC99FF"/>
      <color rgb="FFFF0066"/>
      <color rgb="FFCCCC00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11</xdr:col>
      <xdr:colOff>708660</xdr:colOff>
      <xdr:row>31</xdr:row>
      <xdr:rowOff>53340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D49814A-5E19-41B4-BF26-6B6C70CAC6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9386495" cy="56114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F4C49-240B-4036-BD62-669D42F23E67}">
  <dimension ref="A1:F18"/>
  <sheetViews>
    <sheetView zoomScale="85" zoomScaleNormal="85" workbookViewId="0">
      <selection activeCell="N12" sqref="N12"/>
    </sheetView>
  </sheetViews>
  <sheetFormatPr baseColWidth="10" defaultColWidth="11.44140625" defaultRowHeight="14.4" x14ac:dyDescent="0.3"/>
  <cols>
    <col min="1" max="16384" width="11.44140625" style="2"/>
  </cols>
  <sheetData>
    <row r="1" spans="1:1" x14ac:dyDescent="0.3">
      <c r="A1"/>
    </row>
    <row r="18" spans="6:6" x14ac:dyDescent="0.3">
      <c r="F18"/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88B9D-0652-49D5-BF62-A59B793D6DFC}">
  <dimension ref="A1:D6"/>
  <sheetViews>
    <sheetView zoomScaleNormal="100" workbookViewId="0">
      <pane ySplit="3" topLeftCell="A4" activePane="bottomLeft" state="frozen"/>
      <selection pane="bottomLeft" activeCell="C19" sqref="C19"/>
    </sheetView>
  </sheetViews>
  <sheetFormatPr baseColWidth="10" defaultColWidth="11.44140625" defaultRowHeight="14.4" x14ac:dyDescent="0.3"/>
  <cols>
    <col min="1" max="1" width="19.6640625" style="1" bestFit="1" customWidth="1"/>
    <col min="2" max="2" width="56.33203125" style="1" bestFit="1" customWidth="1"/>
    <col min="3" max="3" width="17.44140625" style="1" bestFit="1" customWidth="1"/>
    <col min="4" max="4" width="22.88671875" style="1" bestFit="1" customWidth="1"/>
    <col min="5" max="16384" width="11.44140625" style="1"/>
  </cols>
  <sheetData>
    <row r="1" spans="1:4" x14ac:dyDescent="0.3">
      <c r="A1" s="19" t="s">
        <v>27</v>
      </c>
      <c r="B1" s="60" t="s">
        <v>29</v>
      </c>
      <c r="C1" s="60"/>
      <c r="D1" s="61"/>
    </row>
    <row r="2" spans="1:4" ht="27.6" customHeight="1" x14ac:dyDescent="0.3">
      <c r="A2" s="20" t="s">
        <v>28</v>
      </c>
      <c r="B2" s="62" t="s">
        <v>88</v>
      </c>
      <c r="C2" s="62"/>
      <c r="D2" s="63"/>
    </row>
    <row r="3" spans="1:4" x14ac:dyDescent="0.3">
      <c r="A3" s="21" t="s">
        <v>4</v>
      </c>
      <c r="B3" s="17" t="s">
        <v>0</v>
      </c>
      <c r="C3" s="17" t="s">
        <v>24</v>
      </c>
      <c r="D3" s="22" t="s">
        <v>25</v>
      </c>
    </row>
    <row r="4" spans="1:4" ht="58.2" thickBot="1" x14ac:dyDescent="0.35">
      <c r="A4" s="15" t="s">
        <v>33</v>
      </c>
      <c r="B4" s="23" t="s">
        <v>80</v>
      </c>
      <c r="C4" s="18" t="s">
        <v>26</v>
      </c>
      <c r="D4" s="64" t="str">
        <f>$B$1</f>
        <v>Reservas</v>
      </c>
    </row>
    <row r="5" spans="1:4" ht="28.8" x14ac:dyDescent="0.3">
      <c r="A5" s="14" t="s">
        <v>31</v>
      </c>
      <c r="B5" s="26" t="s">
        <v>79</v>
      </c>
      <c r="C5" s="18" t="s">
        <v>30</v>
      </c>
      <c r="D5" s="65"/>
    </row>
    <row r="6" spans="1:4" ht="29.4" thickBot="1" x14ac:dyDescent="0.35">
      <c r="A6" s="15" t="s">
        <v>32</v>
      </c>
      <c r="B6" s="23" t="s">
        <v>78</v>
      </c>
      <c r="C6" s="18" t="s">
        <v>30</v>
      </c>
      <c r="D6" s="66"/>
    </row>
  </sheetData>
  <mergeCells count="3">
    <mergeCell ref="B1:D1"/>
    <mergeCell ref="B2:D2"/>
    <mergeCell ref="D4:D6"/>
  </mergeCells>
  <hyperlinks>
    <hyperlink ref="A5" location="Corregimiento!A1" display="Corregimiento" xr:uid="{5DE8806E-3B50-4D64-8FCB-B505612BF7AC}"/>
    <hyperlink ref="A6" location="Departamento!A1" display="Departamento" xr:uid="{26AA4430-F2BA-40AA-8E27-B767044D9379}"/>
    <hyperlink ref="A4" location="Paìs!A1" display="Paìs" xr:uid="{0ABDB78F-3DEA-44D4-B937-E86E7AE94CB2}"/>
  </hyperlinks>
  <pageMargins left="0.7" right="0.7" top="0.75" bottom="0.75" header="0.3" footer="0.3"/>
  <pageSetup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2BFC6-5B3A-4E40-BEA3-58E7EDB79B0C}">
  <dimension ref="A1:N26"/>
  <sheetViews>
    <sheetView zoomScale="43" workbookViewId="0">
      <pane ySplit="2" topLeftCell="A4" activePane="bottomLeft" state="frozen"/>
      <selection pane="bottomLeft" activeCell="K21" sqref="K21"/>
    </sheetView>
  </sheetViews>
  <sheetFormatPr baseColWidth="10" defaultColWidth="11.44140625" defaultRowHeight="14.4" x14ac:dyDescent="0.3"/>
  <cols>
    <col min="1" max="1" width="23.88671875" style="1" bestFit="1" customWidth="1"/>
    <col min="2" max="2" width="22.33203125" style="1" customWidth="1"/>
    <col min="3" max="3" width="18.88671875" style="1" bestFit="1" customWidth="1"/>
    <col min="4" max="4" width="26.44140625" style="1" customWidth="1"/>
    <col min="5" max="6" width="18.88671875" style="1" customWidth="1"/>
    <col min="7" max="7" width="17.44140625" style="1" customWidth="1"/>
    <col min="8" max="8" width="28.44140625" style="1" customWidth="1"/>
    <col min="9" max="9" width="15.33203125" style="1" customWidth="1"/>
    <col min="10" max="10" width="34.5546875" style="1" bestFit="1" customWidth="1"/>
    <col min="11" max="11" width="20.109375" style="1" bestFit="1" customWidth="1"/>
    <col min="12" max="12" width="38" style="1" customWidth="1"/>
    <col min="13" max="13" width="46.33203125" style="1" customWidth="1"/>
    <col min="14" max="14" width="19.33203125" style="1" bestFit="1" customWidth="1"/>
    <col min="15" max="15" width="132.5546875" style="1" bestFit="1" customWidth="1"/>
    <col min="16" max="16" width="46.44140625" style="1" bestFit="1" customWidth="1"/>
    <col min="17" max="17" width="50.109375" style="1" bestFit="1" customWidth="1"/>
    <col min="18" max="18" width="66.88671875" style="1" bestFit="1" customWidth="1"/>
    <col min="19" max="19" width="52.33203125" style="1" bestFit="1" customWidth="1"/>
    <col min="20" max="16384" width="11.44140625" style="1"/>
  </cols>
  <sheetData>
    <row r="1" spans="1:14" ht="15" thickBot="1" x14ac:dyDescent="0.35">
      <c r="A1" s="82" t="s">
        <v>1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</row>
    <row r="2" spans="1:14" x14ac:dyDescent="0.3">
      <c r="A2" s="5" t="s">
        <v>2</v>
      </c>
      <c r="B2" s="83" t="str">
        <f>'Listado Objetos de Dominio'!A5</f>
        <v>Turno</v>
      </c>
      <c r="C2" s="83"/>
      <c r="D2" s="83"/>
      <c r="E2" s="83"/>
      <c r="F2" s="83"/>
      <c r="G2" s="83"/>
      <c r="H2" s="83"/>
      <c r="I2" s="83"/>
      <c r="J2" s="83"/>
      <c r="K2" s="83"/>
      <c r="L2" s="83"/>
      <c r="M2" s="84"/>
      <c r="N2" s="3"/>
    </row>
    <row r="3" spans="1:14" ht="15.75" customHeight="1" x14ac:dyDescent="0.3">
      <c r="A3" s="6" t="s">
        <v>3</v>
      </c>
      <c r="B3" s="85" t="str">
        <f>'Listado Objetos de Dominio'!B5</f>
        <v>Objeto de dominio que representa uno de los turnos que representan un bloque de tiempo que el residente podrá reservar.</v>
      </c>
      <c r="C3" s="85"/>
      <c r="D3" s="85"/>
      <c r="E3" s="85"/>
      <c r="F3" s="85"/>
      <c r="G3" s="85"/>
      <c r="H3" s="85"/>
      <c r="I3" s="85"/>
      <c r="J3" s="85"/>
      <c r="K3" s="85"/>
      <c r="L3" s="85"/>
      <c r="M3" s="86"/>
      <c r="N3" s="4"/>
    </row>
    <row r="4" spans="1:14" ht="27.6" x14ac:dyDescent="0.3">
      <c r="A4" s="8" t="s">
        <v>5</v>
      </c>
      <c r="B4" s="79" t="s">
        <v>12</v>
      </c>
      <c r="C4" s="79"/>
      <c r="D4" s="16" t="s">
        <v>22</v>
      </c>
      <c r="E4" s="87" t="s">
        <v>19</v>
      </c>
      <c r="F4" s="87"/>
      <c r="G4" s="88" t="s">
        <v>13</v>
      </c>
      <c r="H4" s="88"/>
      <c r="I4" s="9" t="s">
        <v>14</v>
      </c>
      <c r="J4" s="10" t="s">
        <v>11</v>
      </c>
      <c r="K4" s="13" t="s">
        <v>16</v>
      </c>
      <c r="L4" s="89" t="s">
        <v>17</v>
      </c>
      <c r="M4" s="90" t="s">
        <v>18</v>
      </c>
      <c r="N4" s="4"/>
    </row>
    <row r="5" spans="1:14" x14ac:dyDescent="0.3">
      <c r="A5" s="97" t="s">
        <v>5</v>
      </c>
      <c r="B5" s="79" t="s">
        <v>6</v>
      </c>
      <c r="C5" s="79" t="s">
        <v>0</v>
      </c>
      <c r="D5" s="95" t="s">
        <v>23</v>
      </c>
      <c r="E5" s="87" t="s">
        <v>20</v>
      </c>
      <c r="F5" s="87"/>
      <c r="G5" s="91" t="s">
        <v>7</v>
      </c>
      <c r="H5" s="91"/>
      <c r="I5" s="93" t="s">
        <v>15</v>
      </c>
      <c r="J5" s="94" t="s">
        <v>8</v>
      </c>
      <c r="K5" s="92" t="s">
        <v>10</v>
      </c>
      <c r="L5" s="89"/>
      <c r="M5" s="90"/>
    </row>
    <row r="6" spans="1:14" x14ac:dyDescent="0.3">
      <c r="A6" s="97"/>
      <c r="B6" s="79"/>
      <c r="C6" s="79"/>
      <c r="D6" s="96"/>
      <c r="E6" s="12" t="s">
        <v>21</v>
      </c>
      <c r="F6" s="12" t="s">
        <v>0</v>
      </c>
      <c r="G6" s="7" t="s">
        <v>9</v>
      </c>
      <c r="H6" s="7" t="s">
        <v>0</v>
      </c>
      <c r="I6" s="93"/>
      <c r="J6" s="94"/>
      <c r="K6" s="92"/>
      <c r="L6" s="89"/>
      <c r="M6" s="90"/>
    </row>
    <row r="7" spans="1:14" ht="90" customHeight="1" x14ac:dyDescent="0.3">
      <c r="A7" s="68" t="s">
        <v>39</v>
      </c>
      <c r="B7" s="67" t="s">
        <v>73</v>
      </c>
      <c r="C7" s="67" t="s">
        <v>41</v>
      </c>
      <c r="D7" s="104" t="s">
        <v>31</v>
      </c>
      <c r="E7" s="104" t="s">
        <v>42</v>
      </c>
      <c r="F7" s="104" t="s">
        <v>43</v>
      </c>
      <c r="G7" s="36" t="s">
        <v>44</v>
      </c>
      <c r="H7" s="36" t="s">
        <v>89</v>
      </c>
      <c r="I7" s="67"/>
      <c r="J7" s="67" t="s">
        <v>34</v>
      </c>
      <c r="K7" s="67"/>
      <c r="L7" s="67" t="s">
        <v>35</v>
      </c>
      <c r="M7" s="33" t="s">
        <v>45</v>
      </c>
    </row>
    <row r="8" spans="1:14" x14ac:dyDescent="0.3">
      <c r="A8" s="68"/>
      <c r="B8" s="67"/>
      <c r="C8" s="67"/>
      <c r="D8" s="104"/>
      <c r="E8" s="104"/>
      <c r="F8" s="104"/>
      <c r="G8" s="80" t="s">
        <v>46</v>
      </c>
      <c r="H8" s="80" t="s">
        <v>90</v>
      </c>
      <c r="I8" s="67"/>
      <c r="J8" s="67"/>
      <c r="K8" s="67"/>
      <c r="L8" s="67"/>
      <c r="M8" s="67" t="s">
        <v>35</v>
      </c>
    </row>
    <row r="9" spans="1:14" ht="58.8" customHeight="1" x14ac:dyDescent="0.3">
      <c r="A9" s="68"/>
      <c r="B9" s="67"/>
      <c r="C9" s="67"/>
      <c r="D9" s="104"/>
      <c r="E9" s="104"/>
      <c r="F9" s="104"/>
      <c r="G9" s="81"/>
      <c r="H9" s="81"/>
      <c r="I9" s="67"/>
      <c r="J9" s="67"/>
      <c r="K9" s="67"/>
      <c r="L9" s="67"/>
      <c r="M9" s="67"/>
    </row>
    <row r="10" spans="1:14" ht="70.2" customHeight="1" x14ac:dyDescent="0.3">
      <c r="A10" s="68" t="s">
        <v>39</v>
      </c>
      <c r="B10" s="69" t="s">
        <v>45</v>
      </c>
      <c r="C10" s="69" t="s">
        <v>47</v>
      </c>
      <c r="D10" s="104"/>
      <c r="E10" s="104"/>
      <c r="F10" s="104"/>
      <c r="G10" s="38" t="s">
        <v>91</v>
      </c>
      <c r="H10" s="37" t="s">
        <v>93</v>
      </c>
      <c r="I10" s="69"/>
      <c r="J10" s="69" t="s">
        <v>48</v>
      </c>
      <c r="K10" s="70"/>
      <c r="L10" s="69" t="s">
        <v>34</v>
      </c>
      <c r="M10" s="69" t="s">
        <v>35</v>
      </c>
    </row>
    <row r="11" spans="1:14" x14ac:dyDescent="0.3">
      <c r="A11" s="68"/>
      <c r="B11" s="69"/>
      <c r="C11" s="69"/>
      <c r="D11" s="104"/>
      <c r="E11" s="104"/>
      <c r="F11" s="104"/>
      <c r="G11" s="73" t="s">
        <v>92</v>
      </c>
      <c r="H11" s="71" t="s">
        <v>94</v>
      </c>
      <c r="I11" s="69"/>
      <c r="J11" s="69"/>
      <c r="K11" s="71"/>
      <c r="L11" s="69"/>
      <c r="M11" s="69"/>
    </row>
    <row r="12" spans="1:14" ht="94.2" customHeight="1" x14ac:dyDescent="0.3">
      <c r="A12" s="68"/>
      <c r="B12" s="69"/>
      <c r="C12" s="69"/>
      <c r="D12" s="104"/>
      <c r="E12" s="104"/>
      <c r="F12" s="104"/>
      <c r="G12" s="74"/>
      <c r="H12" s="72"/>
      <c r="I12" s="69"/>
      <c r="J12" s="69"/>
      <c r="K12" s="72"/>
      <c r="L12" s="69"/>
      <c r="M12" s="69"/>
    </row>
    <row r="13" spans="1:14" ht="57.6" customHeight="1" x14ac:dyDescent="0.3">
      <c r="A13" s="75" t="s">
        <v>39</v>
      </c>
      <c r="B13" s="102" t="s">
        <v>95</v>
      </c>
      <c r="C13" s="102" t="s">
        <v>49</v>
      </c>
      <c r="D13" s="104"/>
      <c r="E13" s="104"/>
      <c r="F13" s="104"/>
      <c r="G13" s="34" t="s">
        <v>96</v>
      </c>
      <c r="H13" s="34" t="s">
        <v>93</v>
      </c>
      <c r="I13" s="102"/>
      <c r="J13" s="102" t="s">
        <v>74</v>
      </c>
      <c r="K13" s="102"/>
      <c r="L13" s="102" t="s">
        <v>34</v>
      </c>
      <c r="M13" s="102" t="s">
        <v>40</v>
      </c>
    </row>
    <row r="14" spans="1:14" ht="71.400000000000006" customHeight="1" x14ac:dyDescent="0.3">
      <c r="A14" s="76"/>
      <c r="B14" s="103"/>
      <c r="C14" s="103"/>
      <c r="D14" s="104"/>
      <c r="E14" s="104"/>
      <c r="F14" s="104"/>
      <c r="G14" s="34" t="s">
        <v>97</v>
      </c>
      <c r="H14" s="39" t="s">
        <v>98</v>
      </c>
      <c r="I14" s="103"/>
      <c r="J14" s="103"/>
      <c r="K14" s="103"/>
      <c r="L14" s="103"/>
      <c r="M14" s="103"/>
    </row>
    <row r="15" spans="1:14" ht="71.400000000000006" customHeight="1" x14ac:dyDescent="0.3">
      <c r="A15" s="75" t="s">
        <v>39</v>
      </c>
      <c r="B15" s="77" t="s">
        <v>75</v>
      </c>
      <c r="C15" s="77" t="s">
        <v>76</v>
      </c>
      <c r="D15" s="104"/>
      <c r="E15" s="104"/>
      <c r="F15" s="104"/>
      <c r="G15" s="77" t="s">
        <v>100</v>
      </c>
      <c r="H15" s="77" t="s">
        <v>99</v>
      </c>
      <c r="I15" s="77"/>
      <c r="J15" s="77" t="s">
        <v>77</v>
      </c>
      <c r="K15" s="77"/>
      <c r="L15" s="77" t="s">
        <v>34</v>
      </c>
      <c r="M15" s="40" t="s">
        <v>45</v>
      </c>
    </row>
    <row r="16" spans="1:14" ht="30.6" customHeight="1" x14ac:dyDescent="0.3">
      <c r="A16" s="76"/>
      <c r="B16" s="78"/>
      <c r="C16" s="78"/>
      <c r="D16" s="104"/>
      <c r="E16" s="104"/>
      <c r="F16" s="104"/>
      <c r="G16" s="78"/>
      <c r="H16" s="78"/>
      <c r="I16" s="78"/>
      <c r="J16" s="78"/>
      <c r="K16" s="78"/>
      <c r="L16" s="78"/>
      <c r="M16" s="35" t="s">
        <v>35</v>
      </c>
    </row>
    <row r="17" spans="1:13" ht="87" customHeight="1" x14ac:dyDescent="0.3">
      <c r="A17" s="75" t="s">
        <v>101</v>
      </c>
      <c r="B17" s="100" t="s">
        <v>102</v>
      </c>
      <c r="C17" s="100" t="s">
        <v>103</v>
      </c>
      <c r="D17" s="104"/>
      <c r="E17" s="104"/>
      <c r="F17" s="104"/>
      <c r="G17" s="42" t="s">
        <v>104</v>
      </c>
      <c r="H17" s="41" t="s">
        <v>106</v>
      </c>
      <c r="I17" s="100"/>
      <c r="J17" s="100" t="s">
        <v>109</v>
      </c>
      <c r="K17" s="100"/>
      <c r="L17" s="100" t="s">
        <v>34</v>
      </c>
      <c r="M17" s="100" t="s">
        <v>110</v>
      </c>
    </row>
    <row r="18" spans="1:13" ht="87" customHeight="1" x14ac:dyDescent="0.3">
      <c r="A18" s="76"/>
      <c r="B18" s="101"/>
      <c r="C18" s="101"/>
      <c r="D18" s="104"/>
      <c r="E18" s="104"/>
      <c r="F18" s="104"/>
      <c r="G18" s="42" t="s">
        <v>105</v>
      </c>
      <c r="H18" s="41" t="s">
        <v>108</v>
      </c>
      <c r="I18" s="101"/>
      <c r="J18" s="101"/>
      <c r="K18" s="101"/>
      <c r="L18" s="101"/>
      <c r="M18" s="101"/>
    </row>
    <row r="19" spans="1:13" ht="57" customHeight="1" x14ac:dyDescent="0.3">
      <c r="A19" s="75" t="s">
        <v>101</v>
      </c>
      <c r="B19" s="98" t="s">
        <v>112</v>
      </c>
      <c r="C19" s="98" t="s">
        <v>113</v>
      </c>
      <c r="D19" s="104"/>
      <c r="E19" s="104"/>
      <c r="F19" s="104"/>
      <c r="G19" s="43" t="s">
        <v>107</v>
      </c>
      <c r="H19" s="44" t="s">
        <v>114</v>
      </c>
      <c r="I19" s="98"/>
      <c r="J19" s="98" t="s">
        <v>116</v>
      </c>
      <c r="K19" s="98"/>
      <c r="L19" s="98" t="s">
        <v>117</v>
      </c>
      <c r="M19" s="98" t="s">
        <v>118</v>
      </c>
    </row>
    <row r="20" spans="1:13" ht="57" customHeight="1" x14ac:dyDescent="0.3">
      <c r="A20" s="76"/>
      <c r="B20" s="99"/>
      <c r="C20" s="99"/>
      <c r="D20" s="104"/>
      <c r="E20" s="104"/>
      <c r="F20" s="104"/>
      <c r="G20" s="43" t="s">
        <v>111</v>
      </c>
      <c r="H20" s="44" t="s">
        <v>115</v>
      </c>
      <c r="I20" s="99"/>
      <c r="J20" s="99"/>
      <c r="K20" s="99"/>
      <c r="L20" s="99"/>
      <c r="M20" s="99"/>
    </row>
    <row r="22" spans="1:13" x14ac:dyDescent="0.3">
      <c r="H22" s="28"/>
    </row>
    <row r="23" spans="1:13" x14ac:dyDescent="0.3">
      <c r="H23" s="28"/>
    </row>
    <row r="24" spans="1:13" x14ac:dyDescent="0.3">
      <c r="H24" s="28"/>
    </row>
    <row r="25" spans="1:13" x14ac:dyDescent="0.3">
      <c r="H25" s="28"/>
    </row>
    <row r="26" spans="1:13" x14ac:dyDescent="0.3">
      <c r="H26" s="28"/>
    </row>
  </sheetData>
  <mergeCells count="73">
    <mergeCell ref="K17:K18"/>
    <mergeCell ref="I17:I18"/>
    <mergeCell ref="J17:J18"/>
    <mergeCell ref="L13:L14"/>
    <mergeCell ref="M13:M14"/>
    <mergeCell ref="L17:L18"/>
    <mergeCell ref="M17:M18"/>
    <mergeCell ref="I13:I14"/>
    <mergeCell ref="J13:J14"/>
    <mergeCell ref="K13:K14"/>
    <mergeCell ref="L15:L16"/>
    <mergeCell ref="I19:I20"/>
    <mergeCell ref="J19:J20"/>
    <mergeCell ref="K19:K20"/>
    <mergeCell ref="L19:L20"/>
    <mergeCell ref="M19:M20"/>
    <mergeCell ref="A1:N1"/>
    <mergeCell ref="B2:M2"/>
    <mergeCell ref="B3:M3"/>
    <mergeCell ref="B4:C4"/>
    <mergeCell ref="E4:F4"/>
    <mergeCell ref="G4:H4"/>
    <mergeCell ref="L4:L6"/>
    <mergeCell ref="M4:M6"/>
    <mergeCell ref="E5:F5"/>
    <mergeCell ref="G5:H5"/>
    <mergeCell ref="K5:K6"/>
    <mergeCell ref="I5:I6"/>
    <mergeCell ref="J5:J6"/>
    <mergeCell ref="D5:D6"/>
    <mergeCell ref="A5:A6"/>
    <mergeCell ref="B5:B6"/>
    <mergeCell ref="C5:C6"/>
    <mergeCell ref="A7:A9"/>
    <mergeCell ref="B7:B9"/>
    <mergeCell ref="C7:C9"/>
    <mergeCell ref="H8:H9"/>
    <mergeCell ref="G8:G9"/>
    <mergeCell ref="D7:D20"/>
    <mergeCell ref="E7:E20"/>
    <mergeCell ref="F7:F20"/>
    <mergeCell ref="A19:A20"/>
    <mergeCell ref="B19:B20"/>
    <mergeCell ref="C19:C20"/>
    <mergeCell ref="A17:A18"/>
    <mergeCell ref="B17:B18"/>
    <mergeCell ref="C17:C18"/>
    <mergeCell ref="B13:B14"/>
    <mergeCell ref="A13:A14"/>
    <mergeCell ref="H15:H16"/>
    <mergeCell ref="K7:K9"/>
    <mergeCell ref="A15:A16"/>
    <mergeCell ref="B15:B16"/>
    <mergeCell ref="C15:C16"/>
    <mergeCell ref="I15:I16"/>
    <mergeCell ref="J15:J16"/>
    <mergeCell ref="K15:K16"/>
    <mergeCell ref="G15:G16"/>
    <mergeCell ref="C13:C14"/>
    <mergeCell ref="M8:M9"/>
    <mergeCell ref="A10:A12"/>
    <mergeCell ref="B10:B12"/>
    <mergeCell ref="C10:C12"/>
    <mergeCell ref="I10:I12"/>
    <mergeCell ref="J10:J12"/>
    <mergeCell ref="K10:K12"/>
    <mergeCell ref="L10:L12"/>
    <mergeCell ref="M10:M12"/>
    <mergeCell ref="L7:L9"/>
    <mergeCell ref="J7:J9"/>
    <mergeCell ref="I7:I9"/>
    <mergeCell ref="G11:G12"/>
    <mergeCell ref="H11:H12"/>
  </mergeCells>
  <phoneticPr fontId="7" type="noConversion"/>
  <hyperlinks>
    <hyperlink ref="A1" location="'Objetos de Dominio'!A1" display="Volver al inicio" xr:uid="{18720746-9CC1-4260-8E4D-17DD35D9F7E5}"/>
    <hyperlink ref="A1:N1" location="'Listado Objetos de Dominio'!A1" display="&lt;-Volver al inicio" xr:uid="{7DDABDDC-821A-4C5B-8B1F-3E2FDCC3745D}"/>
    <hyperlink ref="D1" location="'Listado Objetos de Dominio'!A1" display="&lt;-Volver al inicio" xr:uid="{1BB56E1F-CC07-4B94-A8E9-8A45FD7CDDB5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D88CD-1BA6-4157-9522-8201A0FEDE3C}">
  <dimension ref="A1:N21"/>
  <sheetViews>
    <sheetView tabSelected="1" topLeftCell="A3" zoomScale="51" zoomScaleNormal="55" workbookViewId="0">
      <selection activeCell="H10" sqref="H10:H12"/>
    </sheetView>
  </sheetViews>
  <sheetFormatPr baseColWidth="10" defaultColWidth="11.44140625" defaultRowHeight="14.4" x14ac:dyDescent="0.3"/>
  <cols>
    <col min="1" max="1" width="23.88671875" style="1" bestFit="1" customWidth="1"/>
    <col min="2" max="2" width="21.5546875" style="1" customWidth="1"/>
    <col min="3" max="3" width="18.88671875" style="1" bestFit="1" customWidth="1"/>
    <col min="4" max="4" width="26.44140625" style="1" customWidth="1"/>
    <col min="5" max="6" width="18.88671875" style="1" customWidth="1"/>
    <col min="7" max="7" width="16.6640625" style="1" customWidth="1"/>
    <col min="8" max="8" width="31.6640625" style="1" customWidth="1"/>
    <col min="9" max="9" width="24.21875" style="1" customWidth="1"/>
    <col min="10" max="10" width="43.109375" style="1" bestFit="1" customWidth="1"/>
    <col min="11" max="11" width="36.33203125" style="1" customWidth="1"/>
    <col min="12" max="12" width="38" style="1" customWidth="1"/>
    <col min="13" max="13" width="46.33203125" style="1" customWidth="1"/>
    <col min="14" max="14" width="19.33203125" style="1" bestFit="1" customWidth="1"/>
    <col min="15" max="15" width="132.5546875" style="1" bestFit="1" customWidth="1"/>
    <col min="16" max="16" width="46.44140625" style="1" bestFit="1" customWidth="1"/>
    <col min="17" max="17" width="50.109375" style="1" bestFit="1" customWidth="1"/>
    <col min="18" max="18" width="66.88671875" style="1" bestFit="1" customWidth="1"/>
    <col min="19" max="19" width="52.33203125" style="1" bestFit="1" customWidth="1"/>
    <col min="20" max="16384" width="11.44140625" style="1"/>
  </cols>
  <sheetData>
    <row r="1" spans="1:14" ht="15" thickBot="1" x14ac:dyDescent="0.35">
      <c r="A1" s="128" t="s">
        <v>1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</row>
    <row r="2" spans="1:14" x14ac:dyDescent="0.3">
      <c r="A2" s="5" t="s">
        <v>2</v>
      </c>
      <c r="B2" s="83" t="str">
        <f>'Listado Objetos de Dominio'!A6</f>
        <v>Residente</v>
      </c>
      <c r="C2" s="83"/>
      <c r="D2" s="83"/>
      <c r="E2" s="83"/>
      <c r="F2" s="83"/>
      <c r="G2" s="83"/>
      <c r="H2" s="83"/>
      <c r="I2" s="83"/>
      <c r="J2" s="83"/>
      <c r="K2" s="83"/>
      <c r="L2" s="83"/>
      <c r="M2" s="84"/>
      <c r="N2" s="3"/>
    </row>
    <row r="3" spans="1:14" ht="15.75" customHeight="1" x14ac:dyDescent="0.3">
      <c r="A3" s="6" t="s">
        <v>3</v>
      </c>
      <c r="B3" s="85" t="str">
        <f>'Listado Objetos de Dominio'!B6</f>
        <v>Objeto de dominio que representa a un residente que vive dentro de un inmueble en un conjunto residencial</v>
      </c>
      <c r="C3" s="85"/>
      <c r="D3" s="85"/>
      <c r="E3" s="85"/>
      <c r="F3" s="85"/>
      <c r="G3" s="85"/>
      <c r="H3" s="85"/>
      <c r="I3" s="85"/>
      <c r="J3" s="85"/>
      <c r="K3" s="85"/>
      <c r="L3" s="85"/>
      <c r="M3" s="86"/>
      <c r="N3" s="4"/>
    </row>
    <row r="4" spans="1:14" ht="33" customHeight="1" x14ac:dyDescent="0.3">
      <c r="A4" s="8" t="s">
        <v>5</v>
      </c>
      <c r="B4" s="79" t="s">
        <v>12</v>
      </c>
      <c r="C4" s="79"/>
      <c r="D4" s="16" t="s">
        <v>22</v>
      </c>
      <c r="E4" s="87" t="s">
        <v>19</v>
      </c>
      <c r="F4" s="87"/>
      <c r="G4" s="88" t="s">
        <v>13</v>
      </c>
      <c r="H4" s="88"/>
      <c r="I4" s="9" t="s">
        <v>14</v>
      </c>
      <c r="J4" s="10" t="s">
        <v>11</v>
      </c>
      <c r="K4" s="13" t="s">
        <v>16</v>
      </c>
      <c r="L4" s="89" t="s">
        <v>17</v>
      </c>
      <c r="M4" s="90" t="s">
        <v>18</v>
      </c>
      <c r="N4" s="4"/>
    </row>
    <row r="5" spans="1:14" x14ac:dyDescent="0.3">
      <c r="A5" s="97" t="s">
        <v>5</v>
      </c>
      <c r="B5" s="79" t="s">
        <v>6</v>
      </c>
      <c r="C5" s="79" t="s">
        <v>0</v>
      </c>
      <c r="D5" s="95" t="s">
        <v>23</v>
      </c>
      <c r="E5" s="87" t="s">
        <v>20</v>
      </c>
      <c r="F5" s="87"/>
      <c r="G5" s="91" t="s">
        <v>7</v>
      </c>
      <c r="H5" s="91"/>
      <c r="I5" s="93" t="s">
        <v>15</v>
      </c>
      <c r="J5" s="94" t="s">
        <v>8</v>
      </c>
      <c r="K5" s="92" t="s">
        <v>10</v>
      </c>
      <c r="L5" s="89"/>
      <c r="M5" s="90"/>
    </row>
    <row r="6" spans="1:14" x14ac:dyDescent="0.3">
      <c r="A6" s="97"/>
      <c r="B6" s="79"/>
      <c r="C6" s="79"/>
      <c r="D6" s="96"/>
      <c r="E6" s="12" t="s">
        <v>21</v>
      </c>
      <c r="F6" s="12" t="s">
        <v>0</v>
      </c>
      <c r="G6" s="7" t="s">
        <v>9</v>
      </c>
      <c r="H6" s="7" t="s">
        <v>0</v>
      </c>
      <c r="I6" s="93"/>
      <c r="J6" s="94"/>
      <c r="K6" s="92"/>
      <c r="L6" s="89"/>
      <c r="M6" s="90"/>
    </row>
    <row r="7" spans="1:14" ht="85.2" customHeight="1" x14ac:dyDescent="0.3">
      <c r="A7" s="108" t="s">
        <v>39</v>
      </c>
      <c r="B7" s="123" t="s">
        <v>119</v>
      </c>
      <c r="C7" s="123" t="str">
        <f>_xlfn.CONCAT("Acción de registrar un ",B2," para un conjunto residencial.")</f>
        <v>Acción de registrar un Residente para un conjunto residencial.</v>
      </c>
      <c r="D7" s="108" t="str">
        <f>B2</f>
        <v>Residente</v>
      </c>
      <c r="E7" s="108" t="s">
        <v>125</v>
      </c>
      <c r="F7" s="108" t="s">
        <v>132</v>
      </c>
      <c r="G7" s="45" t="s">
        <v>68</v>
      </c>
      <c r="H7" s="46" t="s">
        <v>120</v>
      </c>
      <c r="I7" s="123"/>
      <c r="J7" s="123" t="str">
        <f>_xlfn.CONCAT(B2," registrado")</f>
        <v>Residente registrado</v>
      </c>
      <c r="K7" s="123"/>
      <c r="L7" s="123" t="str">
        <f>_xlfn.CONCAT(B2," eliminado")</f>
        <v>Residente eliminado</v>
      </c>
      <c r="M7" s="47" t="s">
        <v>124</v>
      </c>
    </row>
    <row r="8" spans="1:14" ht="43.2" customHeight="1" x14ac:dyDescent="0.3">
      <c r="A8" s="109"/>
      <c r="B8" s="125"/>
      <c r="C8" s="125"/>
      <c r="D8" s="109"/>
      <c r="E8" s="109"/>
      <c r="F8" s="109"/>
      <c r="G8" s="123" t="s">
        <v>70</v>
      </c>
      <c r="H8" s="122" t="s">
        <v>121</v>
      </c>
      <c r="I8" s="125"/>
      <c r="J8" s="125"/>
      <c r="K8" s="125"/>
      <c r="L8" s="125"/>
      <c r="M8" s="47" t="str">
        <f>_xlfn.CONCAT("Buscar ",B2)</f>
        <v>Buscar Residente</v>
      </c>
    </row>
    <row r="9" spans="1:14" x14ac:dyDescent="0.3">
      <c r="A9" s="109"/>
      <c r="B9" s="124"/>
      <c r="C9" s="124"/>
      <c r="D9" s="109"/>
      <c r="E9" s="109"/>
      <c r="F9" s="109"/>
      <c r="G9" s="124"/>
      <c r="H9" s="122"/>
      <c r="I9" s="124"/>
      <c r="J9" s="124"/>
      <c r="K9" s="124"/>
      <c r="L9" s="124"/>
      <c r="M9" s="47" t="str">
        <f>_xlfn.CONCAT("Eliminar ",B2)</f>
        <v>Eliminar Residente</v>
      </c>
    </row>
    <row r="10" spans="1:14" ht="43.2" customHeight="1" x14ac:dyDescent="0.3">
      <c r="A10" s="109"/>
      <c r="B10" s="105" t="s">
        <v>147</v>
      </c>
      <c r="C10" s="105" t="s">
        <v>148</v>
      </c>
      <c r="D10" s="109"/>
      <c r="E10" s="109"/>
      <c r="F10" s="109"/>
      <c r="G10" s="105" t="s">
        <v>71</v>
      </c>
      <c r="H10" s="111" t="s">
        <v>150</v>
      </c>
      <c r="I10" s="58"/>
      <c r="J10" s="105" t="s">
        <v>151</v>
      </c>
      <c r="K10" s="58"/>
      <c r="L10" s="105" t="s">
        <v>130</v>
      </c>
      <c r="M10" s="59" t="s">
        <v>124</v>
      </c>
    </row>
    <row r="11" spans="1:14" x14ac:dyDescent="0.3">
      <c r="A11" s="109"/>
      <c r="B11" s="106"/>
      <c r="C11" s="106"/>
      <c r="D11" s="109"/>
      <c r="E11" s="109"/>
      <c r="F11" s="109"/>
      <c r="G11" s="106"/>
      <c r="H11" s="112"/>
      <c r="I11" s="58"/>
      <c r="J11" s="106"/>
      <c r="K11" s="58"/>
      <c r="L11" s="106"/>
      <c r="M11" s="59" t="s">
        <v>147</v>
      </c>
    </row>
    <row r="12" spans="1:14" x14ac:dyDescent="0.3">
      <c r="A12" s="109"/>
      <c r="B12" s="107"/>
      <c r="C12" s="107"/>
      <c r="D12" s="109"/>
      <c r="E12" s="109"/>
      <c r="F12" s="109"/>
      <c r="G12" s="107"/>
      <c r="H12" s="113"/>
      <c r="I12" s="58"/>
      <c r="J12" s="107"/>
      <c r="K12" s="58"/>
      <c r="L12" s="107"/>
      <c r="M12" s="59" t="s">
        <v>152</v>
      </c>
    </row>
    <row r="13" spans="1:14" ht="72" customHeight="1" x14ac:dyDescent="0.3">
      <c r="A13" s="109"/>
      <c r="B13" s="120" t="str">
        <f>_xlfn.CONCAT("Modificar ",B2)</f>
        <v>Modificar Residente</v>
      </c>
      <c r="C13" s="120" t="str">
        <f>_xlfn.CONCAT("Acción de modificar la información asociada a un ",B2," del conjunto residencial.")</f>
        <v>Acción de modificar la información asociada a un Residente del conjunto residencial.</v>
      </c>
      <c r="D13" s="109"/>
      <c r="E13" s="109"/>
      <c r="F13" s="109"/>
      <c r="G13" s="48" t="s">
        <v>72</v>
      </c>
      <c r="H13" s="48" t="s">
        <v>122</v>
      </c>
      <c r="I13" s="120"/>
      <c r="J13" s="120" t="str">
        <f>_xlfn.CONCAT(B2," modificado")</f>
        <v>Residente modificado</v>
      </c>
      <c r="K13" s="120"/>
      <c r="L13" s="120" t="str">
        <f>_xlfn.CONCAT(B2," registrado")</f>
        <v>Residente registrado</v>
      </c>
      <c r="M13" s="48" t="str">
        <f>_xlfn.CONCAT("Eliminar ",$B$2)</f>
        <v>Eliminar Residente</v>
      </c>
    </row>
    <row r="14" spans="1:14" ht="72" x14ac:dyDescent="0.3">
      <c r="A14" s="109"/>
      <c r="B14" s="121"/>
      <c r="C14" s="121"/>
      <c r="D14" s="109"/>
      <c r="E14" s="109"/>
      <c r="F14" s="109"/>
      <c r="G14" s="48" t="s">
        <v>126</v>
      </c>
      <c r="H14" s="48" t="s">
        <v>123</v>
      </c>
      <c r="I14" s="121"/>
      <c r="J14" s="121"/>
      <c r="K14" s="121"/>
      <c r="L14" s="121"/>
      <c r="M14" s="48" t="s">
        <v>124</v>
      </c>
    </row>
    <row r="15" spans="1:14" x14ac:dyDescent="0.3">
      <c r="A15" s="109"/>
      <c r="B15" s="126" t="str">
        <f>_xlfn.CONCAT("Eliminar ",B2)</f>
        <v>Eliminar Residente</v>
      </c>
      <c r="C15" s="126" t="str">
        <f>_xlfn.CONCAT("Acción de eliminar la información asociada a un ",B2," del conjunto residencial.")</f>
        <v>Acción de eliminar la información asociada a un Residente del conjunto residencial.</v>
      </c>
      <c r="D15" s="109"/>
      <c r="E15" s="109"/>
      <c r="F15" s="109"/>
      <c r="G15" s="49" t="s">
        <v>127</v>
      </c>
      <c r="H15" s="50" t="s">
        <v>128</v>
      </c>
      <c r="I15" s="126"/>
      <c r="J15" s="127" t="str">
        <f>_xlfn.CONCAT(B2," eliminado")</f>
        <v>Residente eliminado</v>
      </c>
      <c r="K15" s="126"/>
      <c r="L15" s="100" t="s">
        <v>130</v>
      </c>
      <c r="M15" s="114" t="str">
        <f>_xlfn.CONCAT("Registrar ",$B$2)</f>
        <v>Registrar Residente</v>
      </c>
    </row>
    <row r="16" spans="1:14" ht="72" customHeight="1" x14ac:dyDescent="0.3">
      <c r="A16" s="110"/>
      <c r="B16" s="126"/>
      <c r="C16" s="126"/>
      <c r="D16" s="109"/>
      <c r="E16" s="109"/>
      <c r="F16" s="109"/>
      <c r="G16" s="49" t="s">
        <v>133</v>
      </c>
      <c r="H16" s="51" t="s">
        <v>129</v>
      </c>
      <c r="I16" s="126"/>
      <c r="J16" s="127"/>
      <c r="K16" s="126"/>
      <c r="L16" s="101"/>
      <c r="M16" s="115"/>
    </row>
    <row r="17" spans="1:13" ht="57.6" customHeight="1" x14ac:dyDescent="0.3">
      <c r="A17" s="108" t="s">
        <v>32</v>
      </c>
      <c r="B17" s="116" t="s">
        <v>131</v>
      </c>
      <c r="C17" s="116" t="str">
        <f>_xlfn.CONCAT("Acción de actualizar los datos de  ",B2," de un conjunto residencial.")</f>
        <v>Acción de actualizar los datos de  Residente de un conjunto residencial.</v>
      </c>
      <c r="D17" s="109"/>
      <c r="E17" s="109"/>
      <c r="F17" s="109"/>
      <c r="G17" s="52" t="s">
        <v>134</v>
      </c>
      <c r="H17" s="53" t="s">
        <v>137</v>
      </c>
      <c r="I17" s="116"/>
      <c r="J17" s="116" t="s">
        <v>139</v>
      </c>
      <c r="K17" s="116"/>
      <c r="L17" s="116" t="s">
        <v>130</v>
      </c>
      <c r="M17" s="54" t="s">
        <v>140</v>
      </c>
    </row>
    <row r="18" spans="1:13" ht="43.2" x14ac:dyDescent="0.3">
      <c r="A18" s="109"/>
      <c r="B18" s="117"/>
      <c r="C18" s="117"/>
      <c r="D18" s="109"/>
      <c r="E18" s="109"/>
      <c r="F18" s="109"/>
      <c r="G18" s="52" t="s">
        <v>135</v>
      </c>
      <c r="H18" s="52" t="s">
        <v>138</v>
      </c>
      <c r="I18" s="117"/>
      <c r="J18" s="117"/>
      <c r="K18" s="117"/>
      <c r="L18" s="117"/>
      <c r="M18" s="55" t="s">
        <v>146</v>
      </c>
    </row>
    <row r="19" spans="1:13" ht="43.2" x14ac:dyDescent="0.3">
      <c r="A19" s="109"/>
      <c r="B19" s="118" t="s">
        <v>141</v>
      </c>
      <c r="C19" s="118" t="s">
        <v>142</v>
      </c>
      <c r="D19" s="109"/>
      <c r="E19" s="109"/>
      <c r="F19" s="109"/>
      <c r="G19" s="56" t="s">
        <v>149</v>
      </c>
      <c r="H19" s="57" t="s">
        <v>143</v>
      </c>
      <c r="I19" s="118"/>
      <c r="J19" s="118" t="s">
        <v>145</v>
      </c>
      <c r="K19" s="118"/>
      <c r="L19" s="118" t="s">
        <v>130</v>
      </c>
      <c r="M19" s="56" t="s">
        <v>140</v>
      </c>
    </row>
    <row r="20" spans="1:13" ht="43.2" x14ac:dyDescent="0.3">
      <c r="A20" s="110"/>
      <c r="B20" s="119"/>
      <c r="C20" s="119"/>
      <c r="D20" s="110"/>
      <c r="E20" s="110"/>
      <c r="F20" s="110"/>
      <c r="G20" s="56" t="s">
        <v>136</v>
      </c>
      <c r="H20" s="56" t="s">
        <v>144</v>
      </c>
      <c r="I20" s="119"/>
      <c r="J20" s="119"/>
      <c r="K20" s="119"/>
      <c r="L20" s="119"/>
      <c r="M20" s="56" t="s">
        <v>146</v>
      </c>
    </row>
    <row r="21" spans="1:13" x14ac:dyDescent="0.3">
      <c r="E21" s="28"/>
    </row>
  </sheetData>
  <mergeCells count="61">
    <mergeCell ref="A1:N1"/>
    <mergeCell ref="B2:M2"/>
    <mergeCell ref="B3:M3"/>
    <mergeCell ref="B4:C4"/>
    <mergeCell ref="A5:A6"/>
    <mergeCell ref="B5:B6"/>
    <mergeCell ref="C5:C6"/>
    <mergeCell ref="I5:I6"/>
    <mergeCell ref="J5:J6"/>
    <mergeCell ref="E4:F4"/>
    <mergeCell ref="G4:H4"/>
    <mergeCell ref="L4:L6"/>
    <mergeCell ref="M4:M6"/>
    <mergeCell ref="L7:L9"/>
    <mergeCell ref="K5:K6"/>
    <mergeCell ref="I7:I9"/>
    <mergeCell ref="J7:J9"/>
    <mergeCell ref="D5:D6"/>
    <mergeCell ref="E5:F5"/>
    <mergeCell ref="G5:H5"/>
    <mergeCell ref="M15:M16"/>
    <mergeCell ref="B17:B18"/>
    <mergeCell ref="C17:C18"/>
    <mergeCell ref="I17:I18"/>
    <mergeCell ref="J17:J18"/>
    <mergeCell ref="K17:K18"/>
    <mergeCell ref="L17:L18"/>
    <mergeCell ref="L15:L16"/>
    <mergeCell ref="B15:B16"/>
    <mergeCell ref="C15:C16"/>
    <mergeCell ref="I15:I16"/>
    <mergeCell ref="J15:J16"/>
    <mergeCell ref="K15:K16"/>
    <mergeCell ref="L10:L12"/>
    <mergeCell ref="J10:J12"/>
    <mergeCell ref="H10:H12"/>
    <mergeCell ref="G10:G12"/>
    <mergeCell ref="F7:F20"/>
    <mergeCell ref="L13:L14"/>
    <mergeCell ref="I19:I20"/>
    <mergeCell ref="J19:J20"/>
    <mergeCell ref="K19:K20"/>
    <mergeCell ref="L19:L20"/>
    <mergeCell ref="I13:I14"/>
    <mergeCell ref="J13:J14"/>
    <mergeCell ref="K13:K14"/>
    <mergeCell ref="H8:H9"/>
    <mergeCell ref="G8:G9"/>
    <mergeCell ref="K7:K9"/>
    <mergeCell ref="C10:C12"/>
    <mergeCell ref="B10:B12"/>
    <mergeCell ref="D7:D20"/>
    <mergeCell ref="E7:E20"/>
    <mergeCell ref="A7:A16"/>
    <mergeCell ref="A17:A20"/>
    <mergeCell ref="B19:B20"/>
    <mergeCell ref="C19:C20"/>
    <mergeCell ref="B13:B14"/>
    <mergeCell ref="C13:C14"/>
    <mergeCell ref="B7:B9"/>
    <mergeCell ref="C7:C9"/>
  </mergeCells>
  <phoneticPr fontId="7" type="noConversion"/>
  <hyperlinks>
    <hyperlink ref="A1:N1" location="'Listado Objetos de Dominio'!A1" display="&lt;-Volver al inicio" xr:uid="{827E654C-67F5-45D4-9416-536CC2969F91}"/>
  </hyperlinks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3E27C-63FD-4248-8D03-DE2849BD7525}">
  <dimension ref="A1:N18"/>
  <sheetViews>
    <sheetView topLeftCell="A4" zoomScale="81" zoomScaleNormal="81" workbookViewId="0">
      <selection activeCell="H11" sqref="H11"/>
    </sheetView>
  </sheetViews>
  <sheetFormatPr baseColWidth="10" defaultColWidth="11.44140625" defaultRowHeight="14.4" x14ac:dyDescent="0.3"/>
  <cols>
    <col min="1" max="1" width="23.6640625" style="1" bestFit="1" customWidth="1"/>
    <col min="2" max="2" width="15.33203125" style="1" bestFit="1" customWidth="1"/>
    <col min="3" max="3" width="18.6640625" style="1" bestFit="1" customWidth="1"/>
    <col min="4" max="4" width="26.44140625" style="1" customWidth="1"/>
    <col min="5" max="6" width="18.6640625" style="1" customWidth="1"/>
    <col min="7" max="7" width="14.33203125" style="1" customWidth="1"/>
    <col min="8" max="8" width="34.6640625" style="1" customWidth="1"/>
    <col min="9" max="9" width="15.33203125" style="1" customWidth="1"/>
    <col min="10" max="10" width="35.88671875" style="1" bestFit="1" customWidth="1"/>
    <col min="11" max="11" width="20.33203125" style="1" bestFit="1" customWidth="1"/>
    <col min="12" max="12" width="38" style="1" customWidth="1"/>
    <col min="13" max="13" width="46.33203125" style="1" customWidth="1"/>
    <col min="14" max="14" width="19.33203125" style="1" bestFit="1" customWidth="1"/>
    <col min="15" max="15" width="132.5546875" style="1" bestFit="1" customWidth="1"/>
    <col min="16" max="16" width="46.44140625" style="1" bestFit="1" customWidth="1"/>
    <col min="17" max="17" width="50.33203125" style="1" bestFit="1" customWidth="1"/>
    <col min="18" max="18" width="66.6640625" style="1" bestFit="1" customWidth="1"/>
    <col min="19" max="19" width="52.33203125" style="1" bestFit="1" customWidth="1"/>
    <col min="20" max="16384" width="11.44140625" style="1"/>
  </cols>
  <sheetData>
    <row r="1" spans="1:14" ht="15" thickBot="1" x14ac:dyDescent="0.35">
      <c r="A1" s="82" t="s">
        <v>1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</row>
    <row r="2" spans="1:14" x14ac:dyDescent="0.3">
      <c r="A2" s="5" t="s">
        <v>2</v>
      </c>
      <c r="B2" s="83" t="str">
        <f>'Listado Objetos de Dominio'!A4</f>
        <v>Reserva</v>
      </c>
      <c r="C2" s="83"/>
      <c r="D2" s="83"/>
      <c r="E2" s="83"/>
      <c r="F2" s="83"/>
      <c r="G2" s="83"/>
      <c r="H2" s="83"/>
      <c r="I2" s="83"/>
      <c r="J2" s="83"/>
      <c r="K2" s="83"/>
      <c r="L2" s="83"/>
      <c r="M2" s="84"/>
      <c r="N2" s="3"/>
    </row>
    <row r="3" spans="1:14" ht="15.75" customHeight="1" x14ac:dyDescent="0.3">
      <c r="A3" s="6" t="s">
        <v>3</v>
      </c>
      <c r="B3" s="85" t="str">
        <f>'Listado Objetos de Dominio'!B4</f>
        <v>Objeto de dominio que representa a cada una de las reservas creadas por los residente según una zona comun que esta condicionada con una agenda y según la disponibilidad de turno poder reservar el espacio.</v>
      </c>
      <c r="C3" s="85"/>
      <c r="D3" s="85"/>
      <c r="E3" s="85"/>
      <c r="F3" s="85"/>
      <c r="G3" s="85"/>
      <c r="H3" s="85"/>
      <c r="I3" s="85"/>
      <c r="J3" s="85"/>
      <c r="K3" s="85"/>
      <c r="L3" s="85"/>
      <c r="M3" s="86"/>
      <c r="N3" s="4"/>
    </row>
    <row r="4" spans="1:14" ht="45" customHeight="1" x14ac:dyDescent="0.3">
      <c r="A4" s="8" t="s">
        <v>5</v>
      </c>
      <c r="B4" s="79" t="s">
        <v>12</v>
      </c>
      <c r="C4" s="79"/>
      <c r="D4" s="16" t="s">
        <v>22</v>
      </c>
      <c r="E4" s="87" t="s">
        <v>19</v>
      </c>
      <c r="F4" s="87"/>
      <c r="G4" s="88" t="s">
        <v>13</v>
      </c>
      <c r="H4" s="88"/>
      <c r="I4" s="9" t="s">
        <v>14</v>
      </c>
      <c r="J4" s="10" t="s">
        <v>11</v>
      </c>
      <c r="K4" s="13" t="s">
        <v>16</v>
      </c>
      <c r="L4" s="137" t="s">
        <v>17</v>
      </c>
      <c r="M4" s="138" t="s">
        <v>18</v>
      </c>
      <c r="N4" s="4"/>
    </row>
    <row r="5" spans="1:14" x14ac:dyDescent="0.3">
      <c r="A5" s="97" t="s">
        <v>5</v>
      </c>
      <c r="B5" s="79" t="s">
        <v>6</v>
      </c>
      <c r="C5" s="79" t="s">
        <v>0</v>
      </c>
      <c r="D5" s="95" t="s">
        <v>23</v>
      </c>
      <c r="E5" s="87" t="s">
        <v>20</v>
      </c>
      <c r="F5" s="87"/>
      <c r="G5" s="91" t="s">
        <v>7</v>
      </c>
      <c r="H5" s="91"/>
      <c r="I5" s="93" t="s">
        <v>15</v>
      </c>
      <c r="J5" s="94" t="s">
        <v>8</v>
      </c>
      <c r="K5" s="92" t="s">
        <v>10</v>
      </c>
      <c r="L5" s="137"/>
      <c r="M5" s="138"/>
    </row>
    <row r="6" spans="1:14" x14ac:dyDescent="0.3">
      <c r="A6" s="97"/>
      <c r="B6" s="79"/>
      <c r="C6" s="79"/>
      <c r="D6" s="96"/>
      <c r="E6" s="12" t="s">
        <v>21</v>
      </c>
      <c r="F6" s="12" t="s">
        <v>0</v>
      </c>
      <c r="G6" s="7" t="s">
        <v>9</v>
      </c>
      <c r="H6" s="7" t="s">
        <v>0</v>
      </c>
      <c r="I6" s="93"/>
      <c r="J6" s="94"/>
      <c r="K6" s="92"/>
      <c r="L6" s="137"/>
      <c r="M6" s="138"/>
    </row>
    <row r="7" spans="1:14" ht="72" x14ac:dyDescent="0.3">
      <c r="A7" s="133" t="s">
        <v>32</v>
      </c>
      <c r="B7" s="129" t="s">
        <v>81</v>
      </c>
      <c r="C7" s="75" t="s">
        <v>51</v>
      </c>
      <c r="D7" s="129" t="s">
        <v>33</v>
      </c>
      <c r="E7" s="129" t="s">
        <v>32</v>
      </c>
      <c r="F7" s="75" t="s">
        <v>52</v>
      </c>
      <c r="G7" s="11" t="s">
        <v>54</v>
      </c>
      <c r="H7" s="27" t="s">
        <v>69</v>
      </c>
      <c r="I7" s="11"/>
      <c r="J7" s="129" t="s">
        <v>82</v>
      </c>
      <c r="K7" s="11"/>
      <c r="L7" s="129" t="s">
        <v>65</v>
      </c>
      <c r="M7" s="32" t="s">
        <v>60</v>
      </c>
    </row>
    <row r="8" spans="1:14" ht="28.8" x14ac:dyDescent="0.3">
      <c r="A8" s="135"/>
      <c r="B8" s="130"/>
      <c r="C8" s="136"/>
      <c r="D8" s="130"/>
      <c r="E8" s="130"/>
      <c r="F8" s="136"/>
      <c r="G8" s="11" t="s">
        <v>56</v>
      </c>
      <c r="H8" s="27" t="s">
        <v>57</v>
      </c>
      <c r="I8" s="11"/>
      <c r="J8" s="130"/>
      <c r="K8" s="11"/>
      <c r="L8" s="130"/>
      <c r="M8" s="32" t="s">
        <v>66</v>
      </c>
    </row>
    <row r="9" spans="1:14" ht="109.2" customHeight="1" x14ac:dyDescent="0.3">
      <c r="A9" s="135"/>
      <c r="B9" s="130"/>
      <c r="C9" s="136"/>
      <c r="D9" s="130"/>
      <c r="E9" s="130"/>
      <c r="F9" s="136"/>
      <c r="G9" s="11" t="s">
        <v>58</v>
      </c>
      <c r="H9" s="27" t="s">
        <v>59</v>
      </c>
      <c r="I9" s="11"/>
      <c r="J9" s="130"/>
      <c r="K9" s="11"/>
      <c r="L9" s="130"/>
      <c r="M9" s="129" t="s">
        <v>67</v>
      </c>
    </row>
    <row r="10" spans="1:14" ht="109.2" customHeight="1" x14ac:dyDescent="0.3">
      <c r="A10" s="135"/>
      <c r="B10" s="130"/>
      <c r="C10" s="136"/>
      <c r="D10" s="130"/>
      <c r="E10" s="130"/>
      <c r="F10" s="136"/>
      <c r="G10" s="25" t="s">
        <v>85</v>
      </c>
      <c r="H10" s="29" t="s">
        <v>55</v>
      </c>
      <c r="I10" s="25"/>
      <c r="J10" s="130"/>
      <c r="K10" s="25"/>
      <c r="L10" s="130"/>
      <c r="M10" s="130"/>
    </row>
    <row r="11" spans="1:14" ht="109.2" customHeight="1" x14ac:dyDescent="0.3">
      <c r="A11" s="134"/>
      <c r="B11" s="131"/>
      <c r="C11" s="76"/>
      <c r="D11" s="130"/>
      <c r="E11" s="131"/>
      <c r="F11" s="76"/>
      <c r="G11" s="25" t="s">
        <v>86</v>
      </c>
      <c r="H11" s="29" t="s">
        <v>87</v>
      </c>
      <c r="I11" s="25"/>
      <c r="J11" s="131"/>
      <c r="K11" s="25"/>
      <c r="L11" s="131"/>
      <c r="M11" s="131"/>
    </row>
    <row r="12" spans="1:14" ht="79.2" customHeight="1" x14ac:dyDescent="0.3">
      <c r="A12" s="24" t="s">
        <v>39</v>
      </c>
      <c r="B12" s="129" t="s">
        <v>60</v>
      </c>
      <c r="C12" s="75" t="s">
        <v>61</v>
      </c>
      <c r="D12" s="130"/>
      <c r="E12" s="129" t="s">
        <v>31</v>
      </c>
      <c r="F12" s="75" t="s">
        <v>53</v>
      </c>
      <c r="G12" s="129" t="s">
        <v>85</v>
      </c>
      <c r="H12" s="75" t="s">
        <v>55</v>
      </c>
      <c r="I12" s="129"/>
      <c r="J12" s="132" t="s">
        <v>37</v>
      </c>
      <c r="K12" s="129"/>
      <c r="L12" s="132" t="s">
        <v>36</v>
      </c>
      <c r="M12" s="30" t="s">
        <v>66</v>
      </c>
    </row>
    <row r="13" spans="1:14" x14ac:dyDescent="0.3">
      <c r="A13" s="24" t="s">
        <v>32</v>
      </c>
      <c r="B13" s="131"/>
      <c r="C13" s="76"/>
      <c r="D13" s="130"/>
      <c r="E13" s="130"/>
      <c r="F13" s="136"/>
      <c r="G13" s="130"/>
      <c r="H13" s="136"/>
      <c r="I13" s="131"/>
      <c r="J13" s="132"/>
      <c r="K13" s="131"/>
      <c r="L13" s="132"/>
      <c r="M13" s="30" t="s">
        <v>67</v>
      </c>
    </row>
    <row r="14" spans="1:14" x14ac:dyDescent="0.3">
      <c r="A14" s="24" t="s">
        <v>32</v>
      </c>
      <c r="B14" s="75" t="s">
        <v>83</v>
      </c>
      <c r="C14" s="75" t="s">
        <v>62</v>
      </c>
      <c r="D14" s="130"/>
      <c r="E14" s="130"/>
      <c r="F14" s="136"/>
      <c r="G14" s="130"/>
      <c r="H14" s="136"/>
      <c r="I14" s="129"/>
      <c r="J14" s="129" t="s">
        <v>84</v>
      </c>
      <c r="K14" s="129"/>
      <c r="L14" s="129" t="s">
        <v>36</v>
      </c>
      <c r="M14" s="30" t="s">
        <v>67</v>
      </c>
    </row>
    <row r="15" spans="1:14" x14ac:dyDescent="0.3">
      <c r="A15" s="133" t="s">
        <v>39</v>
      </c>
      <c r="B15" s="136"/>
      <c r="C15" s="136"/>
      <c r="D15" s="130"/>
      <c r="E15" s="130"/>
      <c r="F15" s="136"/>
      <c r="G15" s="130"/>
      <c r="H15" s="136"/>
      <c r="I15" s="130"/>
      <c r="J15" s="130"/>
      <c r="K15" s="130"/>
      <c r="L15" s="130"/>
      <c r="M15" s="30" t="s">
        <v>60</v>
      </c>
    </row>
    <row r="16" spans="1:14" x14ac:dyDescent="0.3">
      <c r="A16" s="134"/>
      <c r="B16" s="76"/>
      <c r="C16" s="76"/>
      <c r="D16" s="130"/>
      <c r="E16" s="130"/>
      <c r="F16" s="136"/>
      <c r="G16" s="130"/>
      <c r="H16" s="136"/>
      <c r="I16" s="131"/>
      <c r="J16" s="131"/>
      <c r="K16" s="131"/>
      <c r="L16" s="131"/>
      <c r="M16" s="30" t="s">
        <v>83</v>
      </c>
    </row>
    <row r="17" spans="1:13" x14ac:dyDescent="0.3">
      <c r="A17" s="31" t="s">
        <v>32</v>
      </c>
      <c r="B17" s="75" t="s">
        <v>63</v>
      </c>
      <c r="C17" s="75" t="s">
        <v>64</v>
      </c>
      <c r="D17" s="130"/>
      <c r="E17" s="130"/>
      <c r="F17" s="136"/>
      <c r="G17" s="130"/>
      <c r="H17" s="136"/>
      <c r="I17" s="129"/>
      <c r="J17" s="129" t="s">
        <v>38</v>
      </c>
      <c r="K17" s="129"/>
      <c r="L17" s="129" t="s">
        <v>36</v>
      </c>
      <c r="M17" s="132" t="s">
        <v>50</v>
      </c>
    </row>
    <row r="18" spans="1:13" x14ac:dyDescent="0.3">
      <c r="A18" s="11" t="s">
        <v>39</v>
      </c>
      <c r="B18" s="76"/>
      <c r="C18" s="76"/>
      <c r="D18" s="131"/>
      <c r="E18" s="131"/>
      <c r="F18" s="76"/>
      <c r="G18" s="131"/>
      <c r="H18" s="76"/>
      <c r="I18" s="131"/>
      <c r="J18" s="131"/>
      <c r="K18" s="131"/>
      <c r="L18" s="131"/>
      <c r="M18" s="132"/>
    </row>
  </sheetData>
  <mergeCells count="50">
    <mergeCell ref="L7:L11"/>
    <mergeCell ref="G5:H5"/>
    <mergeCell ref="I5:I6"/>
    <mergeCell ref="J5:J6"/>
    <mergeCell ref="A1:N1"/>
    <mergeCell ref="B2:M2"/>
    <mergeCell ref="B3:M3"/>
    <mergeCell ref="B4:C4"/>
    <mergeCell ref="E4:F4"/>
    <mergeCell ref="G4:H4"/>
    <mergeCell ref="L4:L6"/>
    <mergeCell ref="M4:M6"/>
    <mergeCell ref="A5:A6"/>
    <mergeCell ref="B5:B6"/>
    <mergeCell ref="K5:K6"/>
    <mergeCell ref="C5:C6"/>
    <mergeCell ref="D5:D6"/>
    <mergeCell ref="E5:F5"/>
    <mergeCell ref="B12:B13"/>
    <mergeCell ref="C12:C13"/>
    <mergeCell ref="I12:I13"/>
    <mergeCell ref="J12:J13"/>
    <mergeCell ref="G12:G18"/>
    <mergeCell ref="H12:H18"/>
    <mergeCell ref="B14:B16"/>
    <mergeCell ref="C17:C18"/>
    <mergeCell ref="J14:J16"/>
    <mergeCell ref="J17:J18"/>
    <mergeCell ref="I14:I16"/>
    <mergeCell ref="I17:I18"/>
    <mergeCell ref="D7:D18"/>
    <mergeCell ref="E12:E18"/>
    <mergeCell ref="F12:F18"/>
    <mergeCell ref="J7:J11"/>
    <mergeCell ref="M9:M11"/>
    <mergeCell ref="M17:M18"/>
    <mergeCell ref="A15:A16"/>
    <mergeCell ref="A7:A11"/>
    <mergeCell ref="B7:B11"/>
    <mergeCell ref="C7:C11"/>
    <mergeCell ref="E7:E11"/>
    <mergeCell ref="F7:F11"/>
    <mergeCell ref="K14:K16"/>
    <mergeCell ref="K17:K18"/>
    <mergeCell ref="K12:K13"/>
    <mergeCell ref="L12:L13"/>
    <mergeCell ref="L14:L16"/>
    <mergeCell ref="L17:L18"/>
    <mergeCell ref="C14:C16"/>
    <mergeCell ref="B17:B18"/>
  </mergeCells>
  <hyperlinks>
    <hyperlink ref="A1" location="'Objetos de Dominio'!A1" display="Volver al inicio" xr:uid="{804E2C57-E5A8-4901-8BC4-4B63A7C4FA3E}"/>
    <hyperlink ref="A1:N1" location="'Listado Objetos de Dominio'!A1" display="&lt;-Volver al inicio" xr:uid="{8EB7698E-1DD1-4373-99C9-673FFA5BD654}"/>
    <hyperlink ref="D1" location="'Listado Objetos de Dominio'!A1" display="&lt;-Volver al inicio" xr:uid="{720BFA19-220B-4457-8396-F7ACF4262B48}"/>
  </hyperlinks>
  <pageMargins left="0.7" right="0.7" top="0.75" bottom="0.75" header="0.3" footer="0.3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279D002CEC08F42B7087C30E58D0266" ma:contentTypeVersion="4" ma:contentTypeDescription="Create a new document." ma:contentTypeScope="" ma:versionID="e5713f579c7011938dc4987ae8981b8f">
  <xsd:schema xmlns:xsd="http://www.w3.org/2001/XMLSchema" xmlns:xs="http://www.w3.org/2001/XMLSchema" xmlns:p="http://schemas.microsoft.com/office/2006/metadata/properties" xmlns:ns2="3219184d-29ab-4105-b29c-8e343e335d59" targetNamespace="http://schemas.microsoft.com/office/2006/metadata/properties" ma:root="true" ma:fieldsID="ae0a0ff84a3c6712467f60982d6e378d" ns2:_="">
    <xsd:import namespace="3219184d-29ab-4105-b29c-8e343e335d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19184d-29ab-4105-b29c-8e343e335d5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AEECCE0-61F9-4782-94C5-382F8EFF459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219184d-29ab-4105-b29c-8e343e335d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2038022-656B-4A1B-A485-51A1972238BD}">
  <ds:schemaRefs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ff57c5a0-3efd-4333-8513-2b909ca014ae"/>
    <ds:schemaRef ds:uri="0d2457a1-fe8a-4cb2-a5c3-c59e87d2493e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6724C681-8A04-4D66-BB1C-57F7466573C0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6ebbfa72-b3b6-4c1f-8b23-058d4f67f013}" enabled="1" method="Privileged" siteId="{bf1ce8b5-5d39-4bc5-ad6e-07b3e4d7d67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Flujo de eventos en el tiempo</vt:lpstr>
      <vt:lpstr>Listado Objetos de Dominio</vt:lpstr>
      <vt:lpstr>Turno</vt:lpstr>
      <vt:lpstr>Residente</vt:lpstr>
      <vt:lpstr>Reserva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Luciana Sánchez Arias</dc:creator>
  <cp:keywords/>
  <dc:description/>
  <cp:lastModifiedBy>Jose Zuluaga</cp:lastModifiedBy>
  <cp:revision/>
  <dcterms:created xsi:type="dcterms:W3CDTF">2023-03-15T04:00:09Z</dcterms:created>
  <dcterms:modified xsi:type="dcterms:W3CDTF">2024-11-05T21:08:44Z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  <property fmtid="{D5CDD505-2E9C-101B-9397-08002B2CF9AE}" pid="4" name="MSIP_Label_86cab09b-e61a-4c01-96e7-67fc9e3d8cd5_Enabled">
    <vt:lpwstr>true</vt:lpwstr>
  </property>
  <property fmtid="{D5CDD505-2E9C-101B-9397-08002B2CF9AE}" pid="5" name="MSIP_Label_86cab09b-e61a-4c01-96e7-67fc9e3d8cd5_SetDate">
    <vt:lpwstr>2023-03-15T04:21:21Z</vt:lpwstr>
  </property>
  <property fmtid="{D5CDD505-2E9C-101B-9397-08002B2CF9AE}" pid="6" name="MSIP_Label_86cab09b-e61a-4c01-96e7-67fc9e3d8cd5_Method">
    <vt:lpwstr>Standard</vt:lpwstr>
  </property>
  <property fmtid="{D5CDD505-2E9C-101B-9397-08002B2CF9AE}" pid="7" name="MSIP_Label_86cab09b-e61a-4c01-96e7-67fc9e3d8cd5_Name">
    <vt:lpwstr>Todos los Empleados</vt:lpwstr>
  </property>
  <property fmtid="{D5CDD505-2E9C-101B-9397-08002B2CF9AE}" pid="8" name="MSIP_Label_86cab09b-e61a-4c01-96e7-67fc9e3d8cd5_SiteId">
    <vt:lpwstr>bf1ce8b5-5d39-4bc5-ad6e-07b3e4d7d67a</vt:lpwstr>
  </property>
  <property fmtid="{D5CDD505-2E9C-101B-9397-08002B2CF9AE}" pid="9" name="MSIP_Label_86cab09b-e61a-4c01-96e7-67fc9e3d8cd5_ActionId">
    <vt:lpwstr>1284b033-3469-4be1-8291-3532cb7ee350</vt:lpwstr>
  </property>
  <property fmtid="{D5CDD505-2E9C-101B-9397-08002B2CF9AE}" pid="10" name="MSIP_Label_86cab09b-e61a-4c01-96e7-67fc9e3d8cd5_ContentBits">
    <vt:lpwstr>8</vt:lpwstr>
  </property>
  <property fmtid="{D5CDD505-2E9C-101B-9397-08002B2CF9AE}" pid="11" name="ContentTypeId">
    <vt:lpwstr>0x010100C279D002CEC08F42B7087C30E58D0266</vt:lpwstr>
  </property>
  <property fmtid="{D5CDD505-2E9C-101B-9397-08002B2CF9AE}" pid="12" name="MediaServiceImageTags">
    <vt:lpwstr/>
  </property>
</Properties>
</file>